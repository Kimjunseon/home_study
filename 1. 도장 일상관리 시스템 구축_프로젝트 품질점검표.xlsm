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. 2023년\1. 프로젝트\도장 일상관리 시스템 구축(2022B150)\5. QA 품질점검표\도장 일상관리시스템 QA\"/>
    </mc:Choice>
  </mc:AlternateContent>
  <xr:revisionPtr revIDLastSave="0" documentId="13_ncr:1_{F5A0B998-A9E9-425D-BBA9-FACF9D2CA3D2}" xr6:coauthVersionLast="47" xr6:coauthVersionMax="47" xr10:uidLastSave="{00000000-0000-0000-0000-000000000000}"/>
  <bookViews>
    <workbookView xWindow="28680" yWindow="-120" windowWidth="29040" windowHeight="15840" tabRatio="893" activeTab="5" xr2:uid="{00000000-000D-0000-FFFF-FFFF00000000}"/>
  </bookViews>
  <sheets>
    <sheet name="Title" sheetId="1" r:id="rId1"/>
    <sheet name="0.개정이력" sheetId="2" r:id="rId2"/>
    <sheet name="0.품질점검 개요" sheetId="18" r:id="rId3"/>
    <sheet name="1.종합의견" sheetId="9" r:id="rId4"/>
    <sheet name="2.1품질점검_착수" sheetId="4" r:id="rId5"/>
    <sheet name="2.2품질점검_분석" sheetId="12" r:id="rId6"/>
    <sheet name="2.3품질점검_설계" sheetId="13" r:id="rId7"/>
    <sheet name="2.4품질점검_개발" sheetId="15" r:id="rId8"/>
    <sheet name="2.5품질점검_테스트" sheetId="14" r:id="rId9"/>
    <sheet name="2.6품질점검_가동준비" sheetId="16" r:id="rId10"/>
    <sheet name="3.시정조치내역서" sheetId="17" r:id="rId11"/>
    <sheet name="4.품질점검 지표 Pool" sheetId="7" r:id="rId12"/>
    <sheet name="5.점검기준(2023)" sheetId="6" r:id="rId13"/>
    <sheet name="6.품질점검 FAQ" sheetId="10" r:id="rId14"/>
  </sheets>
  <externalReferences>
    <externalReference r:id="rId15"/>
    <externalReference r:id="rId16"/>
  </externalReferences>
  <definedNames>
    <definedName name="_xlnm._FilterDatabase" localSheetId="4" hidden="1">'2.1품질점검_착수'!$B$4:$O$18</definedName>
    <definedName name="_xlnm.Print_Area" localSheetId="4">'2.1품질점검_착수'!$A$1:$O$3</definedName>
    <definedName name="_xlnm.Print_Titles" localSheetId="4">#REF!</definedName>
    <definedName name="PRJ_LIST">[1]코드집!$B$24:$AH$68</definedName>
    <definedName name="가중치">'[2]참고.프로젝트 유형-가중치(수정금지)'!$D$4:$X$6</definedName>
    <definedName name="서비스유형">'[2]참고.프로젝트 유형-가중치(수정금지)'!$C$9:$C$12</definedName>
    <definedName name="유형">[2]표지!$F$11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9" l="1"/>
  <c r="E13" i="9"/>
  <c r="G18" i="9" l="1"/>
  <c r="G38" i="9"/>
  <c r="F38" i="9"/>
  <c r="E38" i="9"/>
  <c r="D38" i="9"/>
  <c r="G33" i="9"/>
  <c r="F33" i="9"/>
  <c r="E33" i="9"/>
  <c r="D33" i="9"/>
  <c r="G28" i="9"/>
  <c r="F28" i="9"/>
  <c r="E28" i="9"/>
  <c r="D28" i="9"/>
  <c r="G23" i="9"/>
  <c r="F23" i="9"/>
  <c r="E23" i="9"/>
  <c r="D23" i="9"/>
  <c r="C23" i="9"/>
  <c r="F18" i="9"/>
  <c r="E18" i="9"/>
  <c r="D18" i="9"/>
  <c r="C18" i="9"/>
  <c r="C13" i="9"/>
  <c r="G13" i="9"/>
  <c r="D13" i="9"/>
  <c r="C38" i="9"/>
  <c r="C33" i="9"/>
  <c r="C28" i="9"/>
  <c r="M25" i="7" l="1"/>
  <c r="N25" i="7" s="1"/>
  <c r="M24" i="7"/>
  <c r="N24" i="7" s="1"/>
  <c r="M23" i="7"/>
  <c r="N23" i="7" s="1"/>
  <c r="M21" i="7"/>
  <c r="N21" i="7" s="1"/>
  <c r="M20" i="7"/>
  <c r="N20" i="7" s="1"/>
  <c r="M19" i="7"/>
  <c r="N19" i="7" s="1"/>
  <c r="M15" i="7"/>
  <c r="N15" i="7" s="1"/>
  <c r="M14" i="7"/>
  <c r="N14" i="7" s="1"/>
  <c r="M9" i="7"/>
  <c r="N9" i="7" s="1"/>
  <c r="M6" i="7"/>
  <c r="N6" i="7" s="1"/>
</calcChain>
</file>

<file path=xl/sharedStrings.xml><?xml version="1.0" encoding="utf-8"?>
<sst xmlns="http://schemas.openxmlformats.org/spreadsheetml/2006/main" count="1276" uniqueCount="410">
  <si>
    <t>개정이력</t>
    <phoneticPr fontId="3" type="noConversion"/>
  </si>
  <si>
    <t>No.</t>
    <phoneticPr fontId="20" type="noConversion"/>
  </si>
  <si>
    <t>버전</t>
    <phoneticPr fontId="20" type="noConversion"/>
  </si>
  <si>
    <t>일자</t>
    <phoneticPr fontId="20" type="noConversion"/>
  </si>
  <si>
    <t>제/개정내역</t>
    <phoneticPr fontId="20" type="noConversion"/>
  </si>
  <si>
    <t>작성자</t>
    <phoneticPr fontId="3" type="noConversion"/>
  </si>
  <si>
    <t>승인자</t>
    <phoneticPr fontId="3" type="noConversion"/>
  </si>
  <si>
    <t>비고</t>
    <phoneticPr fontId="3" type="noConversion"/>
  </si>
  <si>
    <t>2017.05.01</t>
    <phoneticPr fontId="3" type="noConversion"/>
  </si>
  <si>
    <t>최초 제정및 승인</t>
    <phoneticPr fontId="3" type="noConversion"/>
  </si>
  <si>
    <t>품질기획팀 김태호 과장</t>
    <phoneticPr fontId="3" type="noConversion"/>
  </si>
  <si>
    <t>품질기획팀 황해종 팀장</t>
    <phoneticPr fontId="3" type="noConversion"/>
  </si>
  <si>
    <t>2018.04.01</t>
    <phoneticPr fontId="3" type="noConversion"/>
  </si>
  <si>
    <t xml:space="preserve">품질평가표  평가기준 변경으로 개정
- 내용 충실도, 절차이해도, 목표달성 중 목표달성 제외 </t>
    <phoneticPr fontId="3" type="noConversion"/>
  </si>
  <si>
    <t>2019.04.01</t>
    <phoneticPr fontId="3" type="noConversion"/>
  </si>
  <si>
    <t xml:space="preserve">품질평가표  평가기준 변경 및 위험평가 보완으로 개정
- 내용 충실도, 절차이해도를  수준평가로로 단일화
- 사전위험점검 관련 위험평가 항목 추가 </t>
    <phoneticPr fontId="3" type="noConversion"/>
  </si>
  <si>
    <t>2022.03.01</t>
    <phoneticPr fontId="3" type="noConversion"/>
  </si>
  <si>
    <t xml:space="preserve">품질평가체계 전체 개편으로 개정
- 관리/개발/위험 영역을 품질(관리/개발)평가와 위험평가로 분리
- 품질평가 항목 상세화 : 관리영역 14항목→31항목, 개발 17항목→39항목
- 위험평가 분리, 상세화 : 위험평가 17항목→58건 </t>
    <phoneticPr fontId="3" type="noConversion"/>
  </si>
  <si>
    <t>품질관리팀 김태호 책임</t>
    <phoneticPr fontId="3" type="noConversion"/>
  </si>
  <si>
    <t>품질관리팀 손재면 팀장</t>
    <phoneticPr fontId="3" type="noConversion"/>
  </si>
  <si>
    <t>개발</t>
    <phoneticPr fontId="3" type="noConversion"/>
  </si>
  <si>
    <t>-</t>
    <phoneticPr fontId="3" type="noConversion"/>
  </si>
  <si>
    <t>영역</t>
    <phoneticPr fontId="3" type="noConversion"/>
  </si>
  <si>
    <t>단계</t>
    <phoneticPr fontId="3" type="noConversion"/>
  </si>
  <si>
    <t>활동</t>
    <phoneticPr fontId="3" type="noConversion"/>
  </si>
  <si>
    <t>타스크</t>
    <phoneticPr fontId="3" type="noConversion"/>
  </si>
  <si>
    <t>산출물</t>
    <phoneticPr fontId="3" type="noConversion"/>
  </si>
  <si>
    <t>범위</t>
    <phoneticPr fontId="3" type="noConversion"/>
  </si>
  <si>
    <t>요구사항정의서</t>
    <phoneticPr fontId="3" type="noConversion"/>
  </si>
  <si>
    <t>일정</t>
    <phoneticPr fontId="3" type="noConversion"/>
  </si>
  <si>
    <t>WBS</t>
    <phoneticPr fontId="3" type="noConversion"/>
  </si>
  <si>
    <t>의사소통</t>
    <phoneticPr fontId="3" type="noConversion"/>
  </si>
  <si>
    <t>품질</t>
    <phoneticPr fontId="3" type="noConversion"/>
  </si>
  <si>
    <t>PMS</t>
    <phoneticPr fontId="3" type="noConversion"/>
  </si>
  <si>
    <t>요구사항추적표</t>
    <phoneticPr fontId="3" type="noConversion"/>
  </si>
  <si>
    <t>품질목표 준수율</t>
    <phoneticPr fontId="3" type="noConversion"/>
  </si>
  <si>
    <t>위험/이슈관리 대장</t>
    <phoneticPr fontId="3" type="noConversion"/>
  </si>
  <si>
    <t>위험/이슈 식별 및 대응</t>
    <phoneticPr fontId="3" type="noConversion"/>
  </si>
  <si>
    <t>위험/이슈 조치율</t>
    <phoneticPr fontId="3" type="noConversion"/>
  </si>
  <si>
    <t>분석</t>
    <phoneticPr fontId="3" type="noConversion"/>
  </si>
  <si>
    <t>테스트</t>
    <phoneticPr fontId="3" type="noConversion"/>
  </si>
  <si>
    <t>설계</t>
    <phoneticPr fontId="3" type="noConversion"/>
  </si>
  <si>
    <t>아키텍처 설계</t>
    <phoneticPr fontId="3" type="noConversion"/>
  </si>
  <si>
    <t>화면설계 승인율</t>
    <phoneticPr fontId="3" type="noConversion"/>
  </si>
  <si>
    <t>프로그램 설계</t>
    <phoneticPr fontId="3" type="noConversion"/>
  </si>
  <si>
    <t>요구사항추적률</t>
    <phoneticPr fontId="3" type="noConversion"/>
  </si>
  <si>
    <t>단위테스트결과서</t>
    <phoneticPr fontId="3" type="noConversion"/>
  </si>
  <si>
    <t>결함 조치율</t>
    <phoneticPr fontId="3" type="noConversion"/>
  </si>
  <si>
    <t>데이터이행 준수율</t>
    <phoneticPr fontId="3" type="noConversion"/>
  </si>
  <si>
    <t>통합테스트 수행</t>
    <phoneticPr fontId="3" type="noConversion"/>
  </si>
  <si>
    <t>결함조치율</t>
    <phoneticPr fontId="3" type="noConversion"/>
  </si>
  <si>
    <t>이행계획수립</t>
    <phoneticPr fontId="3" type="noConversion"/>
  </si>
  <si>
    <t>사용자/운영자 교육</t>
    <phoneticPr fontId="3" type="noConversion"/>
  </si>
  <si>
    <t>이행계획 준수율</t>
    <phoneticPr fontId="3" type="noConversion"/>
  </si>
  <si>
    <t>지표</t>
    <phoneticPr fontId="3" type="noConversion"/>
  </si>
  <si>
    <t>측정방법</t>
    <phoneticPr fontId="3" type="noConversion"/>
  </si>
  <si>
    <t>L1.적정</t>
    <phoneticPr fontId="3" type="noConversion"/>
  </si>
  <si>
    <t>L2.보통</t>
    <phoneticPr fontId="3" type="noConversion"/>
  </si>
  <si>
    <t>L3.미흡</t>
    <phoneticPr fontId="3" type="noConversion"/>
  </si>
  <si>
    <t>L4.부적정</t>
    <phoneticPr fontId="3" type="noConversion"/>
  </si>
  <si>
    <t>결과</t>
    <phoneticPr fontId="3" type="noConversion"/>
  </si>
  <si>
    <t>근거</t>
    <phoneticPr fontId="3" type="noConversion"/>
  </si>
  <si>
    <t>가중치</t>
    <phoneticPr fontId="3" type="noConversion"/>
  </si>
  <si>
    <t>평가결과</t>
    <phoneticPr fontId="3" type="noConversion"/>
  </si>
  <si>
    <t>종합평균</t>
    <phoneticPr fontId="3" type="noConversion"/>
  </si>
  <si>
    <t>10% 이하</t>
    <phoneticPr fontId="3" type="noConversion"/>
  </si>
  <si>
    <t>B/A</t>
  </si>
  <si>
    <t>99% 이상</t>
    <phoneticPr fontId="3" type="noConversion"/>
  </si>
  <si>
    <t>95% 이상</t>
    <phoneticPr fontId="3" type="noConversion"/>
  </si>
  <si>
    <t>90% 이상</t>
    <phoneticPr fontId="3" type="noConversion"/>
  </si>
  <si>
    <t>90% 미만</t>
    <phoneticPr fontId="3" type="noConversion"/>
  </si>
  <si>
    <t>80% 이상</t>
    <phoneticPr fontId="3" type="noConversion"/>
  </si>
  <si>
    <t>미승인</t>
    <phoneticPr fontId="3" type="noConversion"/>
  </si>
  <si>
    <t>10% 초과</t>
    <phoneticPr fontId="3" type="noConversion"/>
  </si>
  <si>
    <t>A.단계별 확정된 요구사항 건수
B.단계별 요구사항 추적 건수
※ 요구사항 별 추적 가능 여부 확인</t>
    <phoneticPr fontId="3" type="noConversion"/>
  </si>
  <si>
    <t>일정진척률 차이</t>
    <phoneticPr fontId="3" type="noConversion"/>
  </si>
  <si>
    <t>A-B</t>
  </si>
  <si>
    <t>A.WBS 계획기간의 일정 진척률
B.WBS 실제기간의 일정 진척률</t>
    <phoneticPr fontId="3" type="noConversion"/>
  </si>
  <si>
    <t>검토계획 준수율</t>
    <phoneticPr fontId="3" type="noConversion"/>
  </si>
  <si>
    <t>80% 미만</t>
    <phoneticPr fontId="3" type="noConversion"/>
  </si>
  <si>
    <t>A.식별한 결함, 시정조치 건수
B.조치완료한 결함, 시정조치 건수</t>
    <phoneticPr fontId="3" type="noConversion"/>
  </si>
  <si>
    <t>85% 이상</t>
    <phoneticPr fontId="3" type="noConversion"/>
  </si>
  <si>
    <t>75% 이상</t>
    <phoneticPr fontId="3" type="noConversion"/>
  </si>
  <si>
    <t>75% 미만</t>
    <phoneticPr fontId="3" type="noConversion"/>
  </si>
  <si>
    <t>A.화면설계로 작성완료 수
B.고객 승인된 화면설계 수</t>
    <phoneticPr fontId="3" type="noConversion"/>
  </si>
  <si>
    <t>A.데이터 이행 관련 타스크 수
B.데이터 이행 관련 타스크 완료 수</t>
    <phoneticPr fontId="3" type="noConversion"/>
  </si>
  <si>
    <t>A.이행계획, 이행시나리오의 이행 타스크 수
B.이행시나리오 이행목표 달성 수</t>
    <phoneticPr fontId="3" type="noConversion"/>
  </si>
  <si>
    <t>배점</t>
    <phoneticPr fontId="3" type="noConversion"/>
  </si>
  <si>
    <t>적정</t>
    <phoneticPr fontId="3" type="noConversion"/>
  </si>
  <si>
    <t>보통</t>
    <phoneticPr fontId="3" type="noConversion"/>
  </si>
  <si>
    <t>미흡</t>
    <phoneticPr fontId="3" type="noConversion"/>
  </si>
  <si>
    <t>부적정</t>
    <phoneticPr fontId="3" type="noConversion"/>
  </si>
  <si>
    <t>미실행</t>
    <phoneticPr fontId="3" type="noConversion"/>
  </si>
  <si>
    <t>실행해야 하는 타스크를 실행하지 않음</t>
    <phoneticPr fontId="3" type="noConversion"/>
  </si>
  <si>
    <t>N/A</t>
    <phoneticPr fontId="3" type="noConversion"/>
  </si>
  <si>
    <t>사업특성, 미도래 업무 등의 사유로 평가 항목 제외</t>
    <phoneticPr fontId="3" type="noConversion"/>
  </si>
  <si>
    <t>개발검증</t>
  </si>
  <si>
    <t>정적분석결과서
(도구)</t>
    <phoneticPr fontId="3" type="noConversion"/>
  </si>
  <si>
    <t>요구사항 예산 미반영률</t>
    <phoneticPr fontId="3" type="noConversion"/>
  </si>
  <si>
    <t>수행계획서</t>
    <phoneticPr fontId="3" type="noConversion"/>
  </si>
  <si>
    <t>- 수행계획서는 프로젝트 내부협의 후 고객과 합의하였는가?</t>
    <phoneticPr fontId="3" type="noConversion"/>
  </si>
  <si>
    <t>단계별 고객승인</t>
    <phoneticPr fontId="3" type="noConversion"/>
  </si>
  <si>
    <t>- 정기 주간/월간 보고를 통해 일정, 위험, 이슈, To-Do List를 이해관계자와 공유 하였는가?
- 의사소통 결과를 기록하고 관리 되고 있는가?
- 주간/월간보고, 중간보고 등 정기 의사소통결과는 상위조직에 보고하고 있는가?</t>
    <phoneticPr fontId="3" type="noConversion"/>
  </si>
  <si>
    <t>정기보고 적시율</t>
    <phoneticPr fontId="3" type="noConversion"/>
  </si>
  <si>
    <t>수행계획서 작성</t>
    <phoneticPr fontId="3" type="noConversion"/>
  </si>
  <si>
    <t>승인</t>
    <phoneticPr fontId="3" type="noConversion"/>
  </si>
  <si>
    <t>A.계획한 검토활동 산출물 수
B.실행한 검토활동 산출물 수</t>
    <phoneticPr fontId="3" type="noConversion"/>
  </si>
  <si>
    <t>O</t>
    <phoneticPr fontId="3" type="noConversion"/>
  </si>
  <si>
    <t>활동수행</t>
    <phoneticPr fontId="3" type="noConversion"/>
  </si>
  <si>
    <t>요구사항변경률</t>
    <phoneticPr fontId="3" type="noConversion"/>
  </si>
  <si>
    <t>2% 이하</t>
    <phoneticPr fontId="3" type="noConversion"/>
  </si>
  <si>
    <t>5%  이하</t>
    <phoneticPr fontId="3" type="noConversion"/>
  </si>
  <si>
    <t>요구사항 예산 미 반영률</t>
    <phoneticPr fontId="3" type="noConversion"/>
  </si>
  <si>
    <t>A.계약금액
B.(대가 청구없이) 변경된 요구사항의 소요 비용</t>
    <phoneticPr fontId="3" type="noConversion"/>
  </si>
  <si>
    <t>4%  이하</t>
    <phoneticPr fontId="3" type="noConversion"/>
  </si>
  <si>
    <t>6% 이하</t>
    <phoneticPr fontId="3" type="noConversion"/>
  </si>
  <si>
    <t>B.WBS 실제기간의 일정 진척률</t>
    <phoneticPr fontId="3" type="noConversion"/>
  </si>
  <si>
    <t>B/100</t>
    <phoneticPr fontId="3" type="noConversion"/>
  </si>
  <si>
    <t>일정진척률(실적)</t>
    <phoneticPr fontId="3" type="noConversion"/>
  </si>
  <si>
    <t>일정진척률(계획)</t>
    <phoneticPr fontId="3" type="noConversion"/>
  </si>
  <si>
    <t>B.WBS 계획기간의 일정 진척률</t>
    <phoneticPr fontId="3" type="noConversion"/>
  </si>
  <si>
    <t>4% 이하</t>
    <phoneticPr fontId="3" type="noConversion"/>
  </si>
  <si>
    <t>A.계획한 정기보고 건수
B.일정지연된 정기보고 건수</t>
    <phoneticPr fontId="3" type="noConversion"/>
  </si>
  <si>
    <t>6% 초과</t>
    <phoneticPr fontId="3" type="noConversion"/>
  </si>
  <si>
    <t>4% 초과</t>
    <phoneticPr fontId="3" type="noConversion"/>
  </si>
  <si>
    <t>A.위험/이슈로 식별한 건수
B.조치기한내 위험/이슈 조치완료 건수
※ 위험/이슈 식별 0건 → 보통</t>
    <phoneticPr fontId="3" type="noConversion"/>
  </si>
  <si>
    <t>승인여부</t>
    <phoneticPr fontId="3" type="noConversion"/>
  </si>
  <si>
    <t>A</t>
    <phoneticPr fontId="3" type="noConversion"/>
  </si>
  <si>
    <t>조건부 승인</t>
    <phoneticPr fontId="3" type="noConversion"/>
  </si>
  <si>
    <t>A.승인:적정, 조건부 승인:미흡, 미승인:부적정</t>
    <phoneticPr fontId="3" type="noConversion"/>
  </si>
  <si>
    <t>활동수행여부</t>
    <phoneticPr fontId="3" type="noConversion"/>
  </si>
  <si>
    <t>A.승인:활동수행, 활동 일부수행:미흡, 활동 미수행:부적정</t>
    <phoneticPr fontId="3" type="noConversion"/>
  </si>
  <si>
    <t>활동 일부수행</t>
    <phoneticPr fontId="3" type="noConversion"/>
  </si>
  <si>
    <t>활동미수행</t>
    <phoneticPr fontId="3" type="noConversion"/>
  </si>
  <si>
    <t>검토계획 준수율
결합조치율</t>
    <phoneticPr fontId="3" type="noConversion"/>
  </si>
  <si>
    <t>단계별 검토실행</t>
    <phoneticPr fontId="3" type="noConversion"/>
  </si>
  <si>
    <t>고객승인</t>
    <phoneticPr fontId="3" type="noConversion"/>
  </si>
  <si>
    <t>통합테스트결과서</t>
    <phoneticPr fontId="3" type="noConversion"/>
  </si>
  <si>
    <t>- 데이터 이행 리허설은 계획을 준수하여 진행되었는가? 
   (데이터 이행 시간, 목표값 달성)
- 데이터 이행 리허설 시 파악한 문제 및 개선 사항은 조치되었는가?
- 데이터 이행 리허설 결과는 프로젝트 이해관계자에 공유/보고되었는가?</t>
    <phoneticPr fontId="3" type="noConversion"/>
  </si>
  <si>
    <t>교육계획 준수율</t>
    <phoneticPr fontId="3" type="noConversion"/>
  </si>
  <si>
    <t>A.계획한 교육 활동 수
B.실행완료한 교육 활동 수</t>
    <phoneticPr fontId="3" type="noConversion"/>
  </si>
  <si>
    <t>실행 및 통제</t>
    <phoneticPr fontId="3" type="noConversion"/>
  </si>
  <si>
    <t>V3.0</t>
    <phoneticPr fontId="3" type="noConversion"/>
  </si>
  <si>
    <t>착수</t>
    <phoneticPr fontId="3" type="noConversion"/>
  </si>
  <si>
    <t>우수</t>
    <phoneticPr fontId="3" type="noConversion"/>
  </si>
  <si>
    <t>A.품질목표를 만족한 품질지표 수</t>
    <phoneticPr fontId="3" type="noConversion"/>
  </si>
  <si>
    <t>모두 달성</t>
    <phoneticPr fontId="3" type="noConversion"/>
  </si>
  <si>
    <t>1개 미달성</t>
    <phoneticPr fontId="3" type="noConversion"/>
  </si>
  <si>
    <t>2개이상 미달성</t>
    <phoneticPr fontId="3" type="noConversion"/>
  </si>
  <si>
    <t>요구정의</t>
    <phoneticPr fontId="3" type="noConversion"/>
  </si>
  <si>
    <t>프로세스흐름도</t>
    <phoneticPr fontId="3" type="noConversion"/>
  </si>
  <si>
    <t>형상관리</t>
    <phoneticPr fontId="3" type="noConversion"/>
  </si>
  <si>
    <t>형상관리방안</t>
    <phoneticPr fontId="3" type="noConversion"/>
  </si>
  <si>
    <t>위험/이슈관리 대장
각종 보고, 회의록</t>
    <phoneticPr fontId="3" type="noConversion"/>
  </si>
  <si>
    <t>- 발생한 위험/이슈는 위험 및 이슈관리대장에 관리 하고 있는가?
- 고 위험/이슈으로 선별된 위험/이슈 항목에 대하여 구체적 대응 계획을 수립 하였는가?
- 식별된 위험/이슈 상태를 주기적으로 파악하고 프로젝트 팀, 고객, 상위관리자와 공유 하였는가?
- 조치기한이 초과된 위험/이슈가 존재하는가?</t>
    <phoneticPr fontId="3" type="noConversion"/>
  </si>
  <si>
    <t>테이블설계서</t>
    <phoneticPr fontId="3" type="noConversion"/>
  </si>
  <si>
    <t>인터페이스 설계</t>
    <phoneticPr fontId="3" type="noConversion"/>
  </si>
  <si>
    <t>인터페이스설계서</t>
    <phoneticPr fontId="3" type="noConversion"/>
  </si>
  <si>
    <t>부하테스트</t>
    <phoneticPr fontId="3" type="noConversion"/>
  </si>
  <si>
    <t>부하테스트결과서</t>
    <phoneticPr fontId="3" type="noConversion"/>
  </si>
  <si>
    <t>아키텍처설계서</t>
    <phoneticPr fontId="3" type="noConversion"/>
  </si>
  <si>
    <t>권한정의서</t>
    <phoneticPr fontId="3" type="noConversion"/>
  </si>
  <si>
    <t>Gate
확인</t>
    <phoneticPr fontId="3" type="noConversion"/>
  </si>
  <si>
    <t>보안정책서</t>
    <phoneticPr fontId="3" type="noConversion"/>
  </si>
  <si>
    <t>- 시스템 보안요건이 분석되고 요구사항을 식별하였는가?</t>
    <phoneticPr fontId="3" type="noConversion"/>
  </si>
  <si>
    <t>접근통제</t>
    <phoneticPr fontId="3" type="noConversion"/>
  </si>
  <si>
    <t>- 권한의 종류가 식별되었는가?
- 기능과 권한이 적절하게 매핑되었는가?
- 사용자별/그룹별 접근권한, 감시기능이 정의되었는가?
- 사용자 인증방법 및 절차가 정의되었는가?</t>
    <phoneticPr fontId="3" type="noConversion"/>
  </si>
  <si>
    <t>- 구현할 업무의 흐름이 식별되었는가? 
    (업무별 처리자, 흐름, 입력/출력 자료(데이터) 등)</t>
    <phoneticPr fontId="3" type="noConversion"/>
  </si>
  <si>
    <t>단위테스트계획서</t>
    <phoneticPr fontId="3" type="noConversion"/>
  </si>
  <si>
    <t>단위테스트 계획수립</t>
    <phoneticPr fontId="3" type="noConversion"/>
  </si>
  <si>
    <t>데이터베이스 설계</t>
    <phoneticPr fontId="3" type="noConversion"/>
  </si>
  <si>
    <t>백업 및 복구</t>
    <phoneticPr fontId="3" type="noConversion"/>
  </si>
  <si>
    <t>백업 및 복구 계획서</t>
    <phoneticPr fontId="3" type="noConversion"/>
  </si>
  <si>
    <t>- 백업대상, 매체, 주기, 방법, 절차가 정의되었는가?
- 복구시기, 방법, 절차가 정의되었는가?
- 유실데이터의 처리방안이 식별되었는가?</t>
    <phoneticPr fontId="3" type="noConversion"/>
  </si>
  <si>
    <t>- 내외부 인터페이스를 위한 테스트 시나리오/케이스는 작성 완료 하였는가?
- 내외부 인터페이스를 위한 테스트 시나리오/케이스 중 누락된 요구사항은 없는가?</t>
    <phoneticPr fontId="3" type="noConversion"/>
  </si>
  <si>
    <t>내외부 인터페이스 
시나리오/케이스</t>
    <phoneticPr fontId="3" type="noConversion"/>
  </si>
  <si>
    <t>점검지표</t>
    <phoneticPr fontId="3" type="noConversion"/>
  </si>
  <si>
    <t>- 단위테스트 계획이 수립되었는가?
- 프로그램별로 코딩 및 단위테스트 일정이 수립되어 있는가?</t>
    <phoneticPr fontId="3" type="noConversion"/>
  </si>
  <si>
    <t>점검항목 별 기준 ('23년)</t>
    <phoneticPr fontId="3" type="noConversion"/>
  </si>
  <si>
    <t>점검
등급</t>
    <phoneticPr fontId="3" type="noConversion"/>
  </si>
  <si>
    <t>점검기준</t>
    <phoneticPr fontId="3" type="noConversion"/>
  </si>
  <si>
    <t>목표 달성 가능
(성공 사례 보유)</t>
    <phoneticPr fontId="3" type="noConversion"/>
  </si>
  <si>
    <t>목표 달성 가능
(문제점 없음)</t>
    <phoneticPr fontId="3" type="noConversion"/>
  </si>
  <si>
    <r>
      <t xml:space="preserve">프로젝트의 성공적인 완수에 영향을 미칠 수 있는 문제점이 발견되지 않았으며, </t>
    </r>
    <r>
      <rPr>
        <u/>
        <sz val="10"/>
        <rFont val="현대하모니 L"/>
        <family val="1"/>
        <charset val="129"/>
      </rPr>
      <t>목표 달성이 충분하고,  우수 성공 사례로 공유가 가능한 상태</t>
    </r>
    <phoneticPr fontId="3" type="noConversion"/>
  </si>
  <si>
    <r>
      <t>프로젝트의 성공적인 완수에 영향을 미칠 수 있는 문제점이 발견되지 않았으며,</t>
    </r>
    <r>
      <rPr>
        <u/>
        <sz val="10"/>
        <rFont val="현대하모니 L"/>
        <family val="1"/>
        <charset val="129"/>
      </rPr>
      <t xml:space="preserve"> 목표 달성이 충분한 상태</t>
    </r>
    <phoneticPr fontId="3" type="noConversion"/>
  </si>
  <si>
    <r>
      <t xml:space="preserve">프로젝트의 성공적인 완수에 영향을 미칠 수 있는 </t>
    </r>
    <r>
      <rPr>
        <u/>
        <sz val="10"/>
        <rFont val="현대하모니 L"/>
        <family val="1"/>
        <charset val="129"/>
      </rPr>
      <t>문제점이 발견 되었으나, 
목표 달성이 가능한 상태</t>
    </r>
    <r>
      <rPr>
        <sz val="10"/>
        <rFont val="현대하모니 L"/>
        <family val="1"/>
        <charset val="129"/>
      </rPr>
      <t> </t>
    </r>
    <phoneticPr fontId="3" type="noConversion"/>
  </si>
  <si>
    <t>목표 달성 가능
(계획된 자원 활용)</t>
    <phoneticPr fontId="3" type="noConversion"/>
  </si>
  <si>
    <t>목표 달성 가능
(일정/자원 조정 검토)</t>
    <phoneticPr fontId="3" type="noConversion"/>
  </si>
  <si>
    <r>
      <t xml:space="preserve">프로젝트의 성공적인 완수에 영향을 미칠 수 있는 문제점이 발견되었고, 
</t>
    </r>
    <r>
      <rPr>
        <u/>
        <sz val="10"/>
        <rFont val="현대하모니 L"/>
        <family val="1"/>
        <charset val="129"/>
      </rPr>
      <t>추진 전략이나 계획된 자원의 정비가 선행 되어야만 목표 달성이 가능한 상태</t>
    </r>
    <phoneticPr fontId="3" type="noConversion"/>
  </si>
  <si>
    <r>
      <t xml:space="preserve">프로젝트의 성공적인 완수에 영향을 미칠 수 있는 중대한 문제점이 발견 되었고, 사업 추진전략이나 계획된 자원 내에서 개선할 수 없어 </t>
    </r>
    <r>
      <rPr>
        <u/>
        <sz val="10"/>
        <rFont val="현대하모니 L"/>
        <family val="1"/>
        <charset val="129"/>
      </rPr>
      <t>사업목표 달성이 불가능한 상태</t>
    </r>
    <phoneticPr fontId="3" type="noConversion"/>
  </si>
  <si>
    <t>목표 달성 불가
(의사 결정/지원 필요)</t>
    <phoneticPr fontId="3" type="noConversion"/>
  </si>
  <si>
    <t>제외사유 기재(필수)</t>
    <phoneticPr fontId="3" type="noConversion"/>
  </si>
  <si>
    <t>점검내용 및 근거</t>
    <phoneticPr fontId="3" type="noConversion"/>
  </si>
  <si>
    <t>프로젝트 품질점검 종합의견</t>
    <phoneticPr fontId="3" type="noConversion"/>
  </si>
  <si>
    <r>
      <rPr>
        <b/>
        <sz val="28"/>
        <rFont val="현대하모니 B"/>
        <family val="1"/>
        <charset val="129"/>
      </rPr>
      <t>프로젝트 품질점검표</t>
    </r>
    <r>
      <rPr>
        <b/>
        <sz val="22"/>
        <rFont val="현대하모니 B"/>
        <family val="1"/>
        <charset val="129"/>
      </rPr>
      <t xml:space="preserve">
(PROJECT Quality CHECKLIST)</t>
    </r>
    <phoneticPr fontId="12" type="noConversion"/>
  </si>
  <si>
    <t>SI품질혁신팀 류호길 책임</t>
    <phoneticPr fontId="3" type="noConversion"/>
  </si>
  <si>
    <t>SI품질혁신팀 손재면 팀장</t>
    <phoneticPr fontId="3" type="noConversion"/>
  </si>
  <si>
    <t>점검내역</t>
    <phoneticPr fontId="3" type="noConversion"/>
  </si>
  <si>
    <t>10억이상</t>
    <phoneticPr fontId="3" type="noConversion"/>
  </si>
  <si>
    <t>2억이상</t>
    <phoneticPr fontId="3" type="noConversion"/>
  </si>
  <si>
    <t>규모(수주액)</t>
    <phoneticPr fontId="3" type="noConversion"/>
  </si>
  <si>
    <t>2억미만</t>
    <phoneticPr fontId="3" type="noConversion"/>
  </si>
  <si>
    <t>점검
결과</t>
    <phoneticPr fontId="3" type="noConversion"/>
  </si>
  <si>
    <t>- 위험/이슈, 주요 이벤트 등 업무별 적시보고(적절한 시점, 적절한 이해관계자)가 이루어 지고 있는가?</t>
    <phoneticPr fontId="3" type="noConversion"/>
  </si>
  <si>
    <t>개발
영역</t>
    <phoneticPr fontId="3" type="noConversion"/>
  </si>
  <si>
    <t>변경요청 및 결과서</t>
    <phoneticPr fontId="3" type="noConversion"/>
  </si>
  <si>
    <t>- 일정/비용에 영향을 미치는 요구사항의 변경관리가 절차에 의하여 수행되고 고객과 합의하였는가?</t>
    <phoneticPr fontId="3" type="noConversion"/>
  </si>
  <si>
    <t>- 일정/비용에 영향을 미치는 변경 요구사항에 대해서 예산변동이 반영되었는가?</t>
    <phoneticPr fontId="3" type="noConversion"/>
  </si>
  <si>
    <t>일정 진척률 차이
일정 진척률</t>
    <phoneticPr fontId="3" type="noConversion"/>
  </si>
  <si>
    <t>일정진척률</t>
    <phoneticPr fontId="3" type="noConversion"/>
  </si>
  <si>
    <t>- WBS를 기준으로 프로젝트 진척률이 계획대비 실적으로 정상관리되는가?</t>
    <phoneticPr fontId="3" type="noConversion"/>
  </si>
  <si>
    <t>- 프로젝트 특성을 고려하여 WBS가 상세화되어 있는가?
- SOW 대비 누락된 업무/타스크는 없는가?
- 타스크별 담당자, 일정(From~TO), 산출물이 정의되어 있는가?
- 단계별/서브시스템별 진척률 가중치의 배분이 적절한가?
- 타스크의 진척률 산정기준이 정의되어 있는가?</t>
    <phoneticPr fontId="3" type="noConversion"/>
  </si>
  <si>
    <t>주간보고서, WBS</t>
    <phoneticPr fontId="3" type="noConversion"/>
  </si>
  <si>
    <t>주간보고서</t>
    <phoneticPr fontId="3" type="noConversion"/>
  </si>
  <si>
    <t>- 모든 문서는 형상관리 기준이 수립되고 관리되고 있는가?
- 고객이 승인한 버전을 식별할 수 있는가?
- 형상(버전)의 변경이력이 관리되고 있는가?</t>
    <phoneticPr fontId="3" type="noConversion"/>
  </si>
  <si>
    <t>동료검토결과</t>
    <phoneticPr fontId="3" type="noConversion"/>
  </si>
  <si>
    <t>공통
영역</t>
    <phoneticPr fontId="3" type="noConversion"/>
  </si>
  <si>
    <t>- 수행계획서에 명시된 동료검토 대상 산출물이 검토되었는가?
- 검토에 참여한 이해관계자 구성은 타당한가?
- 결함사항의 시정조치가 적절한가?</t>
    <phoneticPr fontId="3" type="noConversion"/>
  </si>
  <si>
    <t>고객 확인서</t>
    <phoneticPr fontId="3" type="noConversion"/>
  </si>
  <si>
    <t>- 단계별 고객인도 산출물에 대하여 고객 검토 및 승인이 완료되었는가?
    Tip. 품질점검시점과 승인시점이 상이할 경우 사후 점검항목으로 확인한다.
           고객확인서는 산출물 표지의 서명란, 고객승인 확인 메일 등 다양한 방법으로 증적자료를 확보한다.</t>
    <phoneticPr fontId="3" type="noConversion"/>
  </si>
  <si>
    <t>UI표준 설계</t>
    <phoneticPr fontId="3" type="noConversion"/>
  </si>
  <si>
    <t>UI표준서
디자인시안</t>
    <phoneticPr fontId="3" type="noConversion"/>
  </si>
  <si>
    <t>- 사용자 관점에서의 업무의 정확한 흐름에 대한 편의성, 직관성을 고려한 화면 표준을 작성하였는가?
- 디자인 시안에 대하여 승인이 완료되었는가?</t>
    <phoneticPr fontId="3" type="noConversion"/>
  </si>
  <si>
    <t>화면목록
메뉴구조도
화면설계서</t>
    <phoneticPr fontId="3" type="noConversion"/>
  </si>
  <si>
    <r>
      <t>- UI표준서에 따른 화면 설계를 수행하였는가?
- 화면설계서의 ID가 요구사항추적표의 요구사항ID와 매핑되었는가?</t>
    </r>
    <r>
      <rPr>
        <sz val="10"/>
        <color rgb="FFFF0000"/>
        <rFont val="현대하모니 L"/>
        <family val="1"/>
        <charset val="129"/>
      </rPr>
      <t xml:space="preserve">
</t>
    </r>
    <r>
      <rPr>
        <sz val="10"/>
        <rFont val="현대하모니 L"/>
        <family val="1"/>
        <charset val="129"/>
      </rPr>
      <t>- 메뉴구조도의 전체 메뉴 및 서비스 제공기능을 파악할수 있도록 레벨수준이 구성되었는가?</t>
    </r>
    <phoneticPr fontId="3" type="noConversion"/>
  </si>
  <si>
    <t>- 테이블설계서의 항목은 화면설계서의 테이블 정보와 매핑되어 있는가?
- 인터페이스 항목에 대한 테이블 설계가 되었는가?
- 일원화된 데이터 관리를 위한 공통코드가 정의되었는가?</t>
    <phoneticPr fontId="3" type="noConversion"/>
  </si>
  <si>
    <t>- 연계할 소스 및 타겟시스템이 정의되었는가?
- 연계할 데이터의 연계방식/주기/데이터속성/길이/데이터의미 등 정의되었는가?
- 인터페이스 타겟시스템 담당자와 설계서의 합의가 완료하였는가?</t>
    <phoneticPr fontId="3" type="noConversion"/>
  </si>
  <si>
    <t>- 계획된 목표시스템(TA결과) 아키텍처 구성요소에 부합하게 설계되었는가?
   (시스템 소프트웨어 구성 및 선정, 네트워크 구성 및 대역폭, 패키지 도입 타당성 및 최적 제품 선정방안, 운영관리 용이성 및 유연성)
- 설치계획은 수립되었는가?</t>
    <phoneticPr fontId="3" type="noConversion"/>
  </si>
  <si>
    <t>코드리뷰결과서</t>
    <phoneticPr fontId="3" type="noConversion"/>
  </si>
  <si>
    <t>- SonarQube, PMD, Checkstyle 등의 정적분석 도구를 사용하였는가?
- 해당 도구로 문제점 식별을 하고 제거하였는가?</t>
    <phoneticPr fontId="3" type="noConversion"/>
  </si>
  <si>
    <t>단위테스트 수행률
결함조치율</t>
    <phoneticPr fontId="3" type="noConversion"/>
  </si>
  <si>
    <t>테스트 계획수립</t>
    <phoneticPr fontId="3" type="noConversion"/>
  </si>
  <si>
    <t>테스트계획서</t>
    <phoneticPr fontId="3" type="noConversion"/>
  </si>
  <si>
    <t>- 테스트계획서는 프로젝트 내부협의 후 고객과 합의하였는가?</t>
    <phoneticPr fontId="3" type="noConversion"/>
  </si>
  <si>
    <t>- 데이터 이행 계획에 따라 데이터이행 시나리오를 작성하였는가?
- 데이터 이행 검증 기준 및 방법이 정의되어 있는가?
- 데이터 이행 스크립트를 개발 하였는가?
- 데이터 이행 중 발생할 수 있는 문제 해결 방안을 수립하였는가?</t>
    <phoneticPr fontId="3" type="noConversion"/>
  </si>
  <si>
    <t>테스트 설계</t>
    <phoneticPr fontId="3" type="noConversion"/>
  </si>
  <si>
    <t>테스트결과서</t>
    <phoneticPr fontId="3" type="noConversion"/>
  </si>
  <si>
    <t>보안점검결과서</t>
    <phoneticPr fontId="3" type="noConversion"/>
  </si>
  <si>
    <t>- Load Runner, Jmeter 등 부하발생기를 활용하여 성능이슈를 점검하고 조치하였는가?
- 대상시스템이 요구된 부하를 수용하여 성능요건에 만족하고 있는가?</t>
    <phoneticPr fontId="3" type="noConversion"/>
  </si>
  <si>
    <t>성능점검 및 개선결과서</t>
    <phoneticPr fontId="3" type="noConversion"/>
  </si>
  <si>
    <t>성능점검</t>
    <phoneticPr fontId="3" type="noConversion"/>
  </si>
  <si>
    <t>이행계획서
(이행시나리오)</t>
    <phoneticPr fontId="3" type="noConversion"/>
  </si>
  <si>
    <t>- 대상시스템의 각 기능이 요구된 응답속도 이하를 유지하고 있는가?
- 적절한 자원(CPU, Mem, I/O)의 사용률을 유지하고 있는가?
   Tip. 평균사용률 권고 : 60%이하 유지</t>
    <phoneticPr fontId="3" type="noConversion"/>
  </si>
  <si>
    <t>보안점검</t>
    <phoneticPr fontId="3" type="noConversion"/>
  </si>
  <si>
    <t xml:space="preserve">- 대상시스템이 계획된 보안요건을 충족하고 있는가?
- Fortify를 활용하여 소스코드 보안취약점을 점검하고 조치하였는가? 
- BlackDuck을 활용하여 오픈소스 취약점 및 라이센스리스크 점검하고 조치하였는가?
- AppScan을 활용하여 웹취약점을 점검하고 조치하였는가?
- 모의해킹을 통해 취약점을 식별하고 조치하였는가?
- 인프라(OS,DB 서버,WEB/WAS 서버 등) 보안 점검을 수행하고 조치하였는가?
   Tip. 어플리케이션 보안 체크리스트 참고하여 자체 점검함 </t>
    <phoneticPr fontId="3" type="noConversion"/>
  </si>
  <si>
    <t>통합테스트 수행률
결함조치율</t>
    <phoneticPr fontId="3" type="noConversion"/>
  </si>
  <si>
    <t>테스트 결과 점검</t>
    <phoneticPr fontId="3" type="noConversion"/>
  </si>
  <si>
    <t>데이터이행리허설결과서</t>
    <phoneticPr fontId="3" type="noConversion"/>
  </si>
  <si>
    <t>데이터이행리허설</t>
    <phoneticPr fontId="3" type="noConversion"/>
  </si>
  <si>
    <t>결함조치율
데이터이행 준수율</t>
    <phoneticPr fontId="3" type="noConversion"/>
  </si>
  <si>
    <t>- 이행계획이 수립되었는가?
    Tip. 이행업무, 이행전략, 이행시나리오, 비상대응 방안, 헬프데스크 운영 방안 등
- 이행계획을 고객과 최종 검토/승인이 되었는가?</t>
    <phoneticPr fontId="3" type="noConversion"/>
  </si>
  <si>
    <t>- 목표 시스템 검증을 위한 테스트 방안을 수립하였는가?
- 테스트 대상시스템, 달성목표, 일정, 차수, 자원을 정의하고 있는가?
- 테스트시 비즈니스 업무별 고객 참여 계획이 정의 되었는가?
- 테스트 계획은 고객 검토를 받았는가?
   Tip. 통합(관통/E2E)테스트, 보안점검, 성능점검, 부하테스트 등</t>
    <phoneticPr fontId="3" type="noConversion"/>
  </si>
  <si>
    <t>- 테스트 완료기준을 달성하고 고객과 합의하였는가?
    Tip. 통합(관통/E2E)테스트, 보안점검, 성능점검, 부하테스트 등</t>
    <phoneticPr fontId="3" type="noConversion"/>
  </si>
  <si>
    <t>교육결과
사용자매뉴얼
운영자매뉴얼</t>
    <phoneticPr fontId="3" type="noConversion"/>
  </si>
  <si>
    <t>- 사용자/운영자 매뉴얼 및 결과서를 작성하였는가?
- 운영자가 오픈된 시스템을 운영할 수 있는 기술요소의 교육이 수행되었는가?
- 계획대비 사용자/운영자 교육은 완료하였는가?</t>
    <phoneticPr fontId="3" type="noConversion"/>
  </si>
  <si>
    <t>가동준비</t>
    <phoneticPr fontId="3" type="noConversion"/>
  </si>
  <si>
    <t>운영조직점검</t>
    <phoneticPr fontId="3" type="noConversion"/>
  </si>
  <si>
    <t>요구사항추적률
요구사항변경률</t>
    <phoneticPr fontId="3" type="noConversion"/>
  </si>
  <si>
    <t>원가</t>
    <phoneticPr fontId="3" type="noConversion"/>
  </si>
  <si>
    <t>- PMS에 프로젝트 관리 데이터를 적시에 사실대로 입력하였는가?
   Tip. 수행계획서, 이슈, WBS, 주간보고, 수행QA지정, QA활동 등록(개선사항 포함) 등을 PMS에 입력한다.</t>
    <phoneticPr fontId="3" type="noConversion"/>
  </si>
  <si>
    <t>- 수행계획서가 작성되었는가?
   Tip. 사업의 목적/배경이 식별되었는지 확인
           수행 일정(단계, Milestones, 단계별 주요 활동 등)이 수립되었는지 확인
           수행 조직도, 역할 및 인력투입계획이 수립되었는지 확인
           사업관리방안, 프로젝트 특성을 고려하여 산출물이 테일러링되었는지 확인
           위험/이슈 관리계획이 수립되었는지 확인
           의사소통종류(각종 협의, 정기보고 및 주기), 전파방법, 이해관계자 공유방안이 수립되었는지 확인
            테스트 유형, 수행시점, 범위, R&amp;R 등 계획이 수립되었는지 확인
            단계별 산출물 검토(동료검토)계획이 수립되었는지 확인</t>
    <phoneticPr fontId="3" type="noConversion"/>
  </si>
  <si>
    <t>- 기능/비기능 구분되어 요구사항추적표가 작성되어 있는가?
- 각 단계별 추가/변경/삭제된 요구사항이 식별되었는가?
   Tip. 요구사항추적표 주요 추적 항목 예시 : SOW요구사항목록, 요구사항ID, 화면ID, 프로그램ID, 단위테스트 시나리오ID, 테스트 시나리오ID</t>
    <phoneticPr fontId="3" type="noConversion"/>
  </si>
  <si>
    <t>현행업무분석서
현행시스템분석서
(Gap분석서)</t>
    <phoneticPr fontId="3" type="noConversion"/>
  </si>
  <si>
    <t>프로그램목록</t>
    <phoneticPr fontId="3" type="noConversion"/>
  </si>
  <si>
    <t>- 개발 대상 물량을 목록화하고 항목별 담당자, 개발일정 명기가 되어 있는가?</t>
    <phoneticPr fontId="3" type="noConversion"/>
  </si>
  <si>
    <t>- 단위테스트가 계획일정을 준수하여 수행되었는가?
- 단위테스트케이스는 모두 수행하였고, 식별된 결함은 모두 조치하였는가?
   Tip. 화면단위 기능 기반으로 단위테스트 케이스가 정의되었는지 확인</t>
    <phoneticPr fontId="3" type="noConversion"/>
  </si>
  <si>
    <t>단위테스트 수행률</t>
    <phoneticPr fontId="3" type="noConversion"/>
  </si>
  <si>
    <t>통합테스트 수행률</t>
    <phoneticPr fontId="3" type="noConversion"/>
  </si>
  <si>
    <t>A.단위테스트 대상 건수(시나리오 건수)
B.단위테스트 합격 건수(시나리오 건수)
※ 단위테스트 완료  → 고객 승인 기준</t>
    <phoneticPr fontId="3" type="noConversion"/>
  </si>
  <si>
    <t>A.통합테스트 대상 건수(시나리오 건수)
B.통합테스트 합격 건수(시나리오 건수)
※ 통합테스트 완료  → 고객 승인 기준</t>
    <phoneticPr fontId="3" type="noConversion"/>
  </si>
  <si>
    <t>위험</t>
    <phoneticPr fontId="3" type="noConversion"/>
  </si>
  <si>
    <t>통합</t>
    <phoneticPr fontId="3" type="noConversion"/>
  </si>
  <si>
    <t>품질</t>
  </si>
  <si>
    <t>데이터이행시나리오</t>
    <phoneticPr fontId="3" type="noConversion"/>
  </si>
  <si>
    <t>개발표준정의서
아키텍처정의서</t>
    <phoneticPr fontId="3" type="noConversion"/>
  </si>
  <si>
    <t>- 개발표준정의서가 문서화 되었는가?
- 개발환경세팅, 코딩표준, Naming Rule 등 개발에 필요한 지침이 누락없이 정의되어 있는가?
- 개발표준정의서는 프로젝트 내 개발팀에 배포 및 공유되었는가?
- 개발에 필요한 개발환경(서버, S/W)이 구성되었는가?
- 개발 및 테스트 절차가 프로젝트 내 개발팀에 배포 및 공유되었는가?</t>
    <phoneticPr fontId="3" type="noConversion"/>
  </si>
  <si>
    <t>개발표준 및 환경 정의</t>
    <phoneticPr fontId="3" type="noConversion"/>
  </si>
  <si>
    <t>- 통합테스트가 계획일정을 준수하여 수행되었는가?
- 통합테스트 시나리오/케이스 중 누락된 요구사항은 없는가?
- 통합테스트 설계 결과는 고객 담당자(현업, IT)가 검토, 확인하였는가?
- 통합(관통/E2E)테스트 시나리오/케이스가 포함되어 있는가?
- 통합테스트 시나리오/케이스는 모두 수행하였고, 식별된 결함은 모두 조치하였는가?
- 통합테스트 커버리지에 대하여 고객과 합의하였는가?</t>
    <phoneticPr fontId="3" type="noConversion"/>
  </si>
  <si>
    <t>예산 통제</t>
    <phoneticPr fontId="3" type="noConversion"/>
  </si>
  <si>
    <t>진척관리</t>
    <phoneticPr fontId="3" type="noConversion"/>
  </si>
  <si>
    <t>의사소통 통제</t>
    <phoneticPr fontId="3" type="noConversion"/>
  </si>
  <si>
    <t>의사소통 방안</t>
    <phoneticPr fontId="3" type="noConversion"/>
  </si>
  <si>
    <t>PMS 정보 연계</t>
    <phoneticPr fontId="3" type="noConversion"/>
  </si>
  <si>
    <t>수행계획서 승인</t>
    <phoneticPr fontId="3" type="noConversion"/>
  </si>
  <si>
    <t>일정계획 수립</t>
    <phoneticPr fontId="3" type="noConversion"/>
  </si>
  <si>
    <t>현행업무분석</t>
    <phoneticPr fontId="3" type="noConversion"/>
  </si>
  <si>
    <t>요구사항 식별</t>
    <phoneticPr fontId="3" type="noConversion"/>
  </si>
  <si>
    <t>요구사항 통제</t>
    <phoneticPr fontId="3" type="noConversion"/>
  </si>
  <si>
    <t>단위테스트 수행</t>
    <phoneticPr fontId="3" type="noConversion"/>
  </si>
  <si>
    <t>테스트계획서 승인</t>
    <phoneticPr fontId="3" type="noConversion"/>
  </si>
  <si>
    <t>데이터이행 계획수립</t>
    <phoneticPr fontId="3" type="noConversion"/>
  </si>
  <si>
    <t>BP 공유수준</t>
    <phoneticPr fontId="3" type="noConversion"/>
  </si>
  <si>
    <t>문제없음</t>
    <phoneticPr fontId="3" type="noConversion"/>
  </si>
  <si>
    <t>개선필요</t>
    <phoneticPr fontId="3" type="noConversion"/>
  </si>
  <si>
    <t>품질점검 가이드</t>
    <phoneticPr fontId="3" type="noConversion"/>
  </si>
  <si>
    <t>착수단계 수행QA 점검시점은?</t>
    <phoneticPr fontId="3" type="noConversion"/>
  </si>
  <si>
    <t>- 수행계획서, WBS, 요구사항추적표 작성완료 시점</t>
    <phoneticPr fontId="3" type="noConversion"/>
  </si>
  <si>
    <t>프로젝트 품질점검 FAQ</t>
    <phoneticPr fontId="3" type="noConversion"/>
  </si>
  <si>
    <t>- 10억 이상은 수행QA가 단계별로 모두 점검
- 10억 미만은 설계,개발,테스트/가동준비 단계 수행QA가 점검
   위 단계 외(착수,분석)은 PM이 자체 점검(품질점검표 활용)</t>
    <phoneticPr fontId="3" type="noConversion"/>
  </si>
  <si>
    <t>WBS의 작성시 정의될 항목 및 작성방법은?</t>
    <phoneticPr fontId="3" type="noConversion"/>
  </si>
  <si>
    <t>단계별 품질점검시 해당 단계의 업무중 미도래 업무의 품질점검은?</t>
    <phoneticPr fontId="3" type="noConversion"/>
  </si>
  <si>
    <t>- 품질점검표의 '점검결과'항목 N/A, '점검내용 및 근거'항목은 '사후 점검항목으로 점검 예정'으로 표기하고 업무 완료 후 점검 진행</t>
    <phoneticPr fontId="3" type="noConversion"/>
  </si>
  <si>
    <t>종합의견</t>
    <phoneticPr fontId="3" type="noConversion"/>
  </si>
  <si>
    <t>항목별
점검 갯수</t>
    <phoneticPr fontId="3" type="noConversion"/>
  </si>
  <si>
    <t>총 개수</t>
    <phoneticPr fontId="3" type="noConversion"/>
  </si>
  <si>
    <t>- 운영조직의 운영시점 및 비용이 책정 되었는가?
- 운영자 역할별 공수 및 필요 역랑이 정의되었는가?</t>
    <phoneticPr fontId="3" type="noConversion"/>
  </si>
  <si>
    <t>운영조직안</t>
    <phoneticPr fontId="3" type="noConversion"/>
  </si>
  <si>
    <t>화면설계</t>
    <phoneticPr fontId="3" type="noConversion"/>
  </si>
  <si>
    <t>게이트 항목의 의미는?</t>
    <phoneticPr fontId="3" type="noConversion"/>
  </si>
  <si>
    <t>- 게이트로 표기 점검항목은 점검결과가 'BP 공유수준','문제없음' 이여야 다음 단계로 진입가능</t>
    <phoneticPr fontId="3" type="noConversion"/>
  </si>
  <si>
    <t>후속으로 시정조치 결과 확인은?</t>
    <phoneticPr fontId="3" type="noConversion"/>
  </si>
  <si>
    <t>- 시정조치는 14일내 조치하고 조치결과 확인</t>
    <phoneticPr fontId="3" type="noConversion"/>
  </si>
  <si>
    <t>'입력자료 검증' 버튼의 의미는?</t>
    <phoneticPr fontId="3" type="noConversion"/>
  </si>
  <si>
    <t>프로젝트 품질점검표 착수단계 (v3.0)</t>
    <phoneticPr fontId="3" type="noConversion"/>
  </si>
  <si>
    <t>프로젝트 품질점검표 분석단계 (v3.0)</t>
    <phoneticPr fontId="3" type="noConversion"/>
  </si>
  <si>
    <t>프로젝트 품질점검표 설계단계 (v3.0)</t>
    <phoneticPr fontId="3" type="noConversion"/>
  </si>
  <si>
    <t>프로젝트 품질점검표 개발단계 (v3.0)</t>
    <phoneticPr fontId="3" type="noConversion"/>
  </si>
  <si>
    <t>프로젝트 품질점검표 테스트단계 (v3.0)</t>
    <phoneticPr fontId="3" type="noConversion"/>
  </si>
  <si>
    <t>프로젝트 품질점검표 가동준비 (v3.0)</t>
    <phoneticPr fontId="3" type="noConversion"/>
  </si>
  <si>
    <t>구분</t>
    <phoneticPr fontId="3" type="noConversion"/>
  </si>
  <si>
    <t>단계별 점검여부</t>
    <phoneticPr fontId="3" type="noConversion"/>
  </si>
  <si>
    <t>미도래 업무 처리</t>
    <phoneticPr fontId="3" type="noConversion"/>
  </si>
  <si>
    <t>게이트</t>
    <phoneticPr fontId="3" type="noConversion"/>
  </si>
  <si>
    <t>시정조치</t>
    <phoneticPr fontId="3" type="noConversion"/>
  </si>
  <si>
    <t>점검후 '입력자료 검증' 버튼 클릭</t>
    <phoneticPr fontId="3" type="noConversion"/>
  </si>
  <si>
    <t>착수 수행QA 점검시점</t>
    <phoneticPr fontId="3" type="noConversion"/>
  </si>
  <si>
    <t>WBS 작성방법</t>
    <phoneticPr fontId="3" type="noConversion"/>
  </si>
  <si>
    <t>2023.01.02</t>
    <phoneticPr fontId="3" type="noConversion"/>
  </si>
  <si>
    <t xml:space="preserve">IT품질혁신센터 
SI품질혁신팀 </t>
    <phoneticPr fontId="3" type="noConversion"/>
  </si>
  <si>
    <t>- 발생한 위험/이슈는 위험 및 이슈관리대장에 관리 하고 있는가?
- 고 위험/이슈로 식별된 위험/이슈 항목에 대하여 구체적 대응 계획을 수립 하였는가?
- 식별된 위험/이슈 상태를 주기적으로 파악하고 프로젝트 팀, 고객, 상위관리자와 공유 하였는가?
- 조치기한이 초과된 위험/이슈가 존재하는가?</t>
    <phoneticPr fontId="3" type="noConversion"/>
  </si>
  <si>
    <t>- 현행 업무가 분석되었는가?
    Tip. 현행 업무의 문제점 및 개선처리 사항이 식별되었는지 확인
           현행 시스템별 시스템 구조, 데이터베이스 등 아키텍처가 분석되었는지 확인
           현행업무와 개선목표와의 Gap이 분석되었는지 확인
           Gap분석은 요구사항정의로 대체 가능</t>
    <phoneticPr fontId="3" type="noConversion"/>
  </si>
  <si>
    <t>- 사용자 요구사항은 도출되고 분석되었는가?
    Tip. 요구사항 도출 방법 및 절차, 기능/비기능 분류, 타시스템 인터페이스 등
            산출물에 보안정책서, 권한정의서 포함
- 요구사항 도출 방법 및 절차가 타당한가?
- 이해관계자의 참여 및 확인이 진행되었는가?
- 기능/비기능, 우선순위가 명확하게 식별되었는가?
- 확정된 요구사항별 수용/비수용 결과에 대한 고객 승인이 완료되었는가?
   Tip. 미확정 요구사항에 대하여는 고객확정계획 수립 필요
- 타 시스템과의 연계가 식별되었는가?</t>
    <phoneticPr fontId="3" type="noConversion"/>
  </si>
  <si>
    <t>- 코드리뷰를 적절하게 수행하였는가?
- 결함이 적절하게 조치되고, 결함의 내용이 전파되어 검토 대상외 코드에 대하여도 적절하게 조치되었는가?</t>
    <phoneticPr fontId="3" type="noConversion"/>
  </si>
  <si>
    <t>수행QA가 단계별로 모두 점검해야 하나?</t>
    <phoneticPr fontId="3" type="noConversion"/>
  </si>
  <si>
    <t>점검일</t>
    <phoneticPr fontId="3" type="noConversion"/>
  </si>
  <si>
    <t>▣ 단계 : 착수</t>
    <phoneticPr fontId="3" type="noConversion"/>
  </si>
  <si>
    <t>▣ 단계 : 분석</t>
    <phoneticPr fontId="3" type="noConversion"/>
  </si>
  <si>
    <t>▣ 단계 : 설계</t>
    <phoneticPr fontId="3" type="noConversion"/>
  </si>
  <si>
    <t>▣ 단계 : 개발</t>
    <phoneticPr fontId="3" type="noConversion"/>
  </si>
  <si>
    <t>▣ 단계 : 테스트</t>
    <phoneticPr fontId="3" type="noConversion"/>
  </si>
  <si>
    <t>▣ 단계 : 가동준비</t>
    <phoneticPr fontId="3" type="noConversion"/>
  </si>
  <si>
    <t>▣ 단계별 품질점검 시정조치내역서</t>
    <phoneticPr fontId="3" type="noConversion"/>
  </si>
  <si>
    <t>▣ 프로젝트 기본정보</t>
    <phoneticPr fontId="3" type="noConversion"/>
  </si>
  <si>
    <t>프로젝트 코드</t>
    <phoneticPr fontId="3" type="noConversion"/>
  </si>
  <si>
    <t>프로젝트 명</t>
    <phoneticPr fontId="3" type="noConversion"/>
  </si>
  <si>
    <t>수행 PM</t>
    <phoneticPr fontId="3" type="noConversion"/>
  </si>
  <si>
    <t>영업 담당자</t>
    <phoneticPr fontId="3" type="noConversion"/>
  </si>
  <si>
    <t>프로젝트 주관팀</t>
    <phoneticPr fontId="3" type="noConversion"/>
  </si>
  <si>
    <t>수행 PM : 홍길동</t>
    <phoneticPr fontId="3" type="noConversion"/>
  </si>
  <si>
    <t>시정조치 요청사항</t>
    <phoneticPr fontId="3" type="noConversion"/>
  </si>
  <si>
    <t>조치완료
예정일</t>
    <phoneticPr fontId="3" type="noConversion"/>
  </si>
  <si>
    <t>조치
담당자</t>
    <phoneticPr fontId="3" type="noConversion"/>
  </si>
  <si>
    <t>조치내역</t>
    <phoneticPr fontId="3" type="noConversion"/>
  </si>
  <si>
    <t>진행상태</t>
    <phoneticPr fontId="3" type="noConversion"/>
  </si>
  <si>
    <t>점검자
조치완료 확인일</t>
    <phoneticPr fontId="3" type="noConversion"/>
  </si>
  <si>
    <t>점검자
(시정조치 요청자)</t>
    <phoneticPr fontId="3" type="noConversion"/>
  </si>
  <si>
    <t xml:space="preserve">    (기존 열은 변경 불가)</t>
    <phoneticPr fontId="3" type="noConversion"/>
  </si>
  <si>
    <t>A.단계별 확정된 요구사항 건수
B.단계별 요구사항 변경 건수
※ 변경요청서 또는 요구사항추적표 기준</t>
    <phoneticPr fontId="3" type="noConversion"/>
  </si>
  <si>
    <t>※ 하나의 점검항목에 2개이상의 지표가 있을 경우 각각 측정하여 낮은 지표를 기준으로 합니다.</t>
    <phoneticPr fontId="3" type="noConversion"/>
  </si>
  <si>
    <t>점검항목에 다수의 지표가 있을 경우 기준</t>
    <phoneticPr fontId="3" type="noConversion"/>
  </si>
  <si>
    <t>하나의 점검항목에 다수의 지표가 있고, 지표별로 등급이 다를 경우 점검결과는?</t>
    <phoneticPr fontId="3" type="noConversion"/>
  </si>
  <si>
    <t>- 각각의 지표를 산출하여 상대적으로 낮은 지표를 기준으로 점검결과 표시</t>
    <phoneticPr fontId="3" type="noConversion"/>
  </si>
  <si>
    <t>BP 공유수준/문제없음/개선필요</t>
    <phoneticPr fontId="3" type="noConversion"/>
  </si>
  <si>
    <t>심각도</t>
    <phoneticPr fontId="3" type="noConversion"/>
  </si>
  <si>
    <t>※ 프로젝트의 특성에 맞게 항목을 추가하여 적용 가능하며, 추가시 해당 양식의 뒷열(L열)부터 추가하시기 바랍니다.</t>
    <phoneticPr fontId="3" type="noConversion"/>
  </si>
  <si>
    <t>Gate
통과여부</t>
    <phoneticPr fontId="3" type="noConversion"/>
  </si>
  <si>
    <t>질문</t>
    <phoneticPr fontId="3" type="noConversion"/>
  </si>
  <si>
    <t>- 품질점검 후 '입력자료 검증' 버튼 클릭하여 필수입력사항이 있는지 확인
- 필수 입력사항의 검증이지 품질점검 내용을 검증하지 않음</t>
    <phoneticPr fontId="3" type="noConversion"/>
  </si>
  <si>
    <t>품질평가를 품질점검으로 용어 변경
기존 품질평가표와 위험평가표를 하나로 통합하여 개정 (프로젝트 품질점검표)
품질점검항목 변경
 - 공통영역 31개 항목 → 10개 항목, 개발영역 39개 항목 → 35개 항목
품질점검 지표 Pool 개정
게이트 점검사항, 규모(수주액)별 점검사항 구분</t>
    <phoneticPr fontId="3" type="noConversion"/>
  </si>
  <si>
    <t>단계
점검결과</t>
    <phoneticPr fontId="3" type="noConversion"/>
  </si>
  <si>
    <r>
      <t xml:space="preserve">점검항목에 대하여 문제점이 발견되지 않았으며, </t>
    </r>
    <r>
      <rPr>
        <u/>
        <sz val="10"/>
        <rFont val="현대하모니 L"/>
        <family val="1"/>
        <charset val="129"/>
      </rPr>
      <t>목표 달성이 충분하고,  우수 성공 사례로 공유가 가능한 상태</t>
    </r>
    <phoneticPr fontId="3" type="noConversion"/>
  </si>
  <si>
    <r>
      <t xml:space="preserve">점검항목에 대하여 문제점이 발견되지 않았으며, 
</t>
    </r>
    <r>
      <rPr>
        <u/>
        <sz val="10"/>
        <rFont val="현대하모니 L"/>
        <family val="1"/>
        <charset val="129"/>
      </rPr>
      <t xml:space="preserve">목표 달성이 충분한 상태 
</t>
    </r>
    <r>
      <rPr>
        <sz val="10"/>
        <rFont val="현대하모니 L"/>
        <family val="1"/>
        <charset val="129"/>
      </rPr>
      <t xml:space="preserve">또는
</t>
    </r>
    <r>
      <rPr>
        <u/>
        <sz val="10"/>
        <rFont val="현대하모니 L"/>
        <family val="1"/>
        <charset val="129"/>
      </rPr>
      <t>문제점이 발견 되었으나, 목표 달성이 가능한 상태</t>
    </r>
    <phoneticPr fontId="3" type="noConversion"/>
  </si>
  <si>
    <r>
      <t xml:space="preserve">점검항목에 대하여 </t>
    </r>
    <r>
      <rPr>
        <u/>
        <sz val="10"/>
        <rFont val="현대하모니 L"/>
        <family val="1"/>
        <charset val="129"/>
      </rPr>
      <t>문제점이 발견되었고, 목표 달성을 위해 추가 자원투입이 필요한 상태</t>
    </r>
    <phoneticPr fontId="3" type="noConversion"/>
  </si>
  <si>
    <t>프로젝트 단계별 점검결과 기준 ('23년)</t>
    <phoneticPr fontId="3" type="noConversion"/>
  </si>
  <si>
    <t>※ 위 프로젝트 단계별 점검결과 기준('23년)은 '1.종합의견' Sheet의 '단계별 점검결과' 란에 점검등급을 표기합니다.</t>
    <phoneticPr fontId="3" type="noConversion"/>
  </si>
  <si>
    <t>단계별 수행QA점검시점</t>
    <phoneticPr fontId="3" type="noConversion"/>
  </si>
  <si>
    <t>단계별 수행QA 점검시점은?</t>
    <phoneticPr fontId="3" type="noConversion"/>
  </si>
  <si>
    <t>- 단계말에 점검하고 시정조치요청사항에 대하여 반영을 완료하고 다음 단계를 진입할 수 있는 시점</t>
    <phoneticPr fontId="3" type="noConversion"/>
  </si>
  <si>
    <t>- 단계별로 계획된 일(Task)를 세분화/계층화하여 작성 (3레벨 이상 권고)
- Task는 시작일과 종료일을 지정
   Tip. 2개월인 Task 1개 보다는 세분화하여 1주씩 8개 Task로 작성 권고
- Task별 담당자, 산출물, 진척관련 비율, 작업완료기준, 투입자원 기재 권고
   Tip. 산출물이 없는 Task는 공란 가능 
- 파트(서브시스템)별로 작성가능하나, 전체 진도율 식별이 가능해야 함
- Task간 선-후행 관계 정의(입력물 --&gt; 결과물)</t>
    <phoneticPr fontId="3" type="noConversion"/>
  </si>
  <si>
    <t>배청한 책임</t>
    <phoneticPr fontId="3" type="noConversion"/>
  </si>
  <si>
    <t>강승철 책임</t>
    <phoneticPr fontId="3" type="noConversion"/>
  </si>
  <si>
    <t>SF운영기술팀</t>
    <phoneticPr fontId="3" type="noConversion"/>
  </si>
  <si>
    <t>문제없음</t>
  </si>
  <si>
    <t>- 요구사항 추적율 : 100%</t>
    <phoneticPr fontId="3" type="noConversion"/>
  </si>
  <si>
    <t>BP 공유수준</t>
  </si>
  <si>
    <t>적정</t>
  </si>
  <si>
    <t>점검자/점검일 : 배청한/2023.02.10</t>
    <phoneticPr fontId="3" type="noConversion"/>
  </si>
  <si>
    <t>점검자/점검일 : 배청한/2023.03.17</t>
    <phoneticPr fontId="3" type="noConversion"/>
  </si>
  <si>
    <t>점검자/점검일 : 배청한/2023.04.07</t>
    <phoneticPr fontId="3" type="noConversion"/>
  </si>
  <si>
    <t>점검자/점검일 : 배청한/2023.06.12</t>
    <phoneticPr fontId="3" type="noConversion"/>
  </si>
  <si>
    <t>점검자/점검일 : 배청한/2023.06.19</t>
    <phoneticPr fontId="3" type="noConversion"/>
  </si>
  <si>
    <t>점검자/점검일 : 배청한/2023.07.14</t>
    <phoneticPr fontId="3" type="noConversion"/>
  </si>
  <si>
    <t>P-23-0117</t>
    <phoneticPr fontId="3" type="noConversion"/>
  </si>
  <si>
    <t>프로젝트명(프로젝트 코드) : 도장 일상관리 시스템 구축_개발1 (P-23-0117)</t>
    <phoneticPr fontId="3" type="noConversion"/>
  </si>
  <si>
    <t>- 일정/비용에 영향을 미치는 요구사항의 변경이 발생되지 않음</t>
    <phoneticPr fontId="3" type="noConversion"/>
  </si>
  <si>
    <t>- WBS를 기준으로 프로젝트 진척률이 계획대비 실적으로 정상 관리중</t>
    <phoneticPr fontId="3" type="noConversion"/>
  </si>
  <si>
    <t>- 정기 주간 보고를 통하여 관리 중</t>
    <phoneticPr fontId="3" type="noConversion"/>
  </si>
  <si>
    <t>- 현재까지 발견된 이슈 사항 없음.
- 주간 보고를 통하여 식별된 위험/이슈 상태를 주기적으로 파악하고 프로젝트 팀, 고객, 상위관리자와 공유 중</t>
    <phoneticPr fontId="3" type="noConversion"/>
  </si>
  <si>
    <t>- 향후 산출물 고객 인도 시점(프로젝트 종료 시점 예상)에 일괄적으로 진행 예정</t>
    <phoneticPr fontId="3" type="noConversion"/>
  </si>
  <si>
    <t>- PMS에 프로젝트 관리 데이터를 적시에 사실대로 입력 중</t>
    <phoneticPr fontId="3" type="noConversion"/>
  </si>
  <si>
    <t>- 요구사항정의서(추적관리 포함)에 의하여 관리되어지고 있음.</t>
    <phoneticPr fontId="3" type="noConversion"/>
  </si>
  <si>
    <t>- 정기 주간 보고를 통해 일정, 위험, 이슈를 이해 관계자와 공유 중
- 의사소통 결과를 기록하고 관리 중
 (회의시마다 회의록에 기록 및 관리)
- 주간 보고, 중간 보고 등 정기 의사소통결과를 상위 인사 관리자에게 보고 중</t>
    <phoneticPr fontId="3" type="noConversion"/>
  </si>
  <si>
    <t>- 모든 문서는 형상관리 기준이 수립되어 관리 중 (코디)</t>
    <phoneticPr fontId="3" type="noConversion"/>
  </si>
  <si>
    <t>프로젝트 일정 및 개발 규모에 맞게 착수 준비 및 진행을 하고 있음</t>
    <phoneticPr fontId="3" type="noConversion"/>
  </si>
  <si>
    <t>업무 자체가 99% 입력하는 시스템으로 공장 일지 전산화에 초점을 맞추었고,
전공장 도장의 점검일지를 표준화하여 데이터베이스화하는것으로 분석 업무를 수행함.</t>
    <phoneticPr fontId="3" type="noConversion"/>
  </si>
  <si>
    <t>수행계획서 상 점검 내역과 동일하게 구비되어 있고, 그 기준에 의해서 착수 진행</t>
    <phoneticPr fontId="3" type="noConversion"/>
  </si>
  <si>
    <t>수행계획서(비용,일정 기타) 협의하였음</t>
    <phoneticPr fontId="3" type="noConversion"/>
  </si>
  <si>
    <t>WBS상 상세화되어 있고, 진행 시 누락된 부분은 서로 협의하에 추가 구성하며, 버전관리를 하고 있음.</t>
    <phoneticPr fontId="3" type="noConversion"/>
  </si>
  <si>
    <t>요구사항정의서에 기술</t>
    <phoneticPr fontId="3" type="noConversion"/>
  </si>
  <si>
    <t>업무별 처리자 및 권한관리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</si>
</sst>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"/>
  </numFmts>
  <fonts count="4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현대하모니 B"/>
      <family val="1"/>
      <charset val="129"/>
    </font>
    <font>
      <sz val="8"/>
      <name val="맑은 고딕"/>
      <family val="2"/>
      <charset val="129"/>
      <scheme val="minor"/>
    </font>
    <font>
      <sz val="16"/>
      <name val="현대하모니 B"/>
      <family val="1"/>
      <charset val="129"/>
    </font>
    <font>
      <sz val="11"/>
      <name val="돋움"/>
      <family val="3"/>
      <charset val="129"/>
    </font>
    <font>
      <sz val="11"/>
      <name val="현대하모니 B"/>
      <family val="1"/>
      <charset val="129"/>
    </font>
    <font>
      <sz val="12"/>
      <name val="현대하모니 B"/>
      <family val="1"/>
      <charset val="129"/>
    </font>
    <font>
      <b/>
      <sz val="14"/>
      <name val="현대하모니 B"/>
      <family val="1"/>
      <charset val="129"/>
    </font>
    <font>
      <sz val="14"/>
      <name val="현대하모니 B"/>
      <family val="1"/>
      <charset val="129"/>
    </font>
    <font>
      <b/>
      <sz val="22"/>
      <name val="현대하모니 B"/>
      <family val="1"/>
      <charset val="129"/>
    </font>
    <font>
      <b/>
      <sz val="28"/>
      <name val="현대하모니 B"/>
      <family val="1"/>
      <charset val="129"/>
    </font>
    <font>
      <sz val="8"/>
      <name val="맑은 고딕"/>
      <family val="3"/>
      <charset val="129"/>
    </font>
    <font>
      <sz val="8"/>
      <name val="현대하모니 B"/>
      <family val="1"/>
      <charset val="129"/>
    </font>
    <font>
      <b/>
      <sz val="20"/>
      <name val="현대하모니 B"/>
      <family val="1"/>
      <charset val="129"/>
    </font>
    <font>
      <b/>
      <sz val="24"/>
      <name val="현대하모니 B"/>
      <family val="1"/>
      <charset val="129"/>
    </font>
    <font>
      <sz val="18"/>
      <name val="현대하모니 B"/>
      <family val="1"/>
      <charset val="129"/>
    </font>
    <font>
      <sz val="16"/>
      <color theme="1"/>
      <name val="현대하모니 L"/>
      <family val="1"/>
      <charset val="129"/>
    </font>
    <font>
      <sz val="11"/>
      <color theme="1"/>
      <name val="현대하모니 L"/>
      <family val="1"/>
      <charset val="129"/>
    </font>
    <font>
      <sz val="11"/>
      <name val="현대하모니 L"/>
      <family val="1"/>
      <charset val="129"/>
    </font>
    <font>
      <sz val="8"/>
      <name val="돋움"/>
      <family val="3"/>
      <charset val="129"/>
    </font>
    <font>
      <b/>
      <sz val="11"/>
      <name val="현대하모니 L"/>
      <family val="1"/>
      <charset val="129"/>
    </font>
    <font>
      <b/>
      <sz val="16"/>
      <color theme="1"/>
      <name val="현대하모니 L"/>
      <family val="1"/>
      <charset val="129"/>
    </font>
    <font>
      <sz val="10"/>
      <color theme="1"/>
      <name val="현대하모니 L"/>
      <family val="1"/>
      <charset val="129"/>
    </font>
    <font>
      <sz val="10"/>
      <color theme="0" tint="-0.499984740745262"/>
      <name val="현대하모니 L"/>
      <family val="1"/>
      <charset val="129"/>
    </font>
    <font>
      <sz val="10"/>
      <name val="현대하모니 L"/>
      <family val="1"/>
      <charset val="129"/>
    </font>
    <font>
      <sz val="10"/>
      <color rgb="FF0000FF"/>
      <name val="현대하모니 L"/>
      <family val="1"/>
      <charset val="129"/>
    </font>
    <font>
      <sz val="10"/>
      <color theme="0" tint="-0.34998626667073579"/>
      <name val="현대하모니 L"/>
      <family val="1"/>
      <charset val="129"/>
    </font>
    <font>
      <sz val="10"/>
      <color rgb="FFFFC000"/>
      <name val="현대하모니 L"/>
      <family val="1"/>
      <charset val="129"/>
    </font>
    <font>
      <sz val="10"/>
      <color rgb="FFFF0000"/>
      <name val="현대하모니 L"/>
      <family val="1"/>
      <charset val="129"/>
    </font>
    <font>
      <b/>
      <sz val="12"/>
      <color theme="1"/>
      <name val="현대하모니 L"/>
      <family val="1"/>
      <charset val="129"/>
    </font>
    <font>
      <sz val="12"/>
      <color theme="1"/>
      <name val="현대하모니 L"/>
      <family val="1"/>
      <charset val="129"/>
    </font>
    <font>
      <sz val="10"/>
      <color rgb="FF000000"/>
      <name val="현대하모니 L"/>
      <family val="1"/>
      <charset val="129"/>
    </font>
    <font>
      <sz val="13"/>
      <color theme="1"/>
      <name val="현대하모니 M"/>
      <family val="1"/>
      <charset val="129"/>
    </font>
    <font>
      <sz val="14"/>
      <color theme="1"/>
      <name val="현대하모니 M"/>
      <family val="1"/>
      <charset val="129"/>
    </font>
    <font>
      <sz val="14"/>
      <color theme="1"/>
      <name val="맑은 고딕"/>
      <family val="2"/>
      <charset val="129"/>
      <scheme val="minor"/>
    </font>
    <font>
      <u/>
      <sz val="10"/>
      <name val="현대하모니 L"/>
      <family val="1"/>
      <charset val="129"/>
    </font>
    <font>
      <sz val="11"/>
      <color rgb="FF000000"/>
      <name val="맑은 고딕"/>
      <family val="3"/>
      <charset val="129"/>
    </font>
    <font>
      <sz val="9"/>
      <color rgb="FFFF0000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b/>
      <sz val="13"/>
      <color rgb="FF262626"/>
      <name val="현대하모니 L"/>
      <family val="1"/>
      <charset val="129"/>
    </font>
    <font>
      <sz val="10"/>
      <color theme="0"/>
      <name val="현대하모니 L"/>
      <family val="1"/>
      <charset val="129"/>
    </font>
    <font>
      <sz val="10"/>
      <color theme="1"/>
      <name val="맑은 고딕"/>
      <family val="2"/>
      <charset val="129"/>
      <scheme val="minor"/>
    </font>
    <font>
      <sz val="10"/>
      <color rgb="FF262626"/>
      <name val="현대하모니 L"/>
      <family val="1"/>
      <charset val="129"/>
    </font>
    <font>
      <b/>
      <sz val="16"/>
      <color rgb="FFFF0000"/>
      <name val="현대하모니 L"/>
      <family val="1"/>
      <charset val="129"/>
    </font>
    <font>
      <b/>
      <sz val="16"/>
      <color rgb="FFFF0000"/>
      <name val="현대하모니 M"/>
      <family val="1"/>
      <charset val="129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5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3"/>
      </left>
      <right style="thin">
        <color theme="0"/>
      </right>
      <top style="thick">
        <color theme="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3"/>
      </top>
      <bottom style="thin">
        <color theme="0"/>
      </bottom>
      <diagonal/>
    </border>
    <border>
      <left style="thin">
        <color theme="0"/>
      </left>
      <right style="thick">
        <color theme="3"/>
      </right>
      <top style="thick">
        <color theme="3"/>
      </top>
      <bottom style="thin">
        <color theme="0"/>
      </bottom>
      <diagonal/>
    </border>
    <border>
      <left style="thick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3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3"/>
      </left>
      <right/>
      <top style="thin">
        <color theme="0"/>
      </top>
      <bottom style="thin">
        <color theme="0"/>
      </bottom>
      <diagonal/>
    </border>
    <border>
      <left/>
      <right style="thick">
        <color theme="3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ck">
        <color theme="3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thick">
        <color theme="3"/>
      </right>
      <top style="thin">
        <color theme="0"/>
      </top>
      <bottom style="thick">
        <color theme="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" fillId="0" borderId="0"/>
    <xf numFmtId="0" fontId="5" fillId="0" borderId="0">
      <alignment vertical="center"/>
    </xf>
  </cellStyleXfs>
  <cellXfs count="172">
    <xf numFmtId="0" fontId="0" fillId="0" borderId="0" xfId="0">
      <alignment vertical="center"/>
    </xf>
    <xf numFmtId="176" fontId="2" fillId="0" borderId="1" xfId="1" applyNumberFormat="1" applyFont="1" applyBorder="1">
      <alignment vertical="center"/>
    </xf>
    <xf numFmtId="176" fontId="2" fillId="0" borderId="2" xfId="1" applyNumberFormat="1" applyFont="1" applyBorder="1">
      <alignment vertical="center"/>
    </xf>
    <xf numFmtId="176" fontId="2" fillId="0" borderId="3" xfId="1" applyNumberFormat="1" applyFont="1" applyBorder="1">
      <alignment vertical="center"/>
    </xf>
    <xf numFmtId="176" fontId="2" fillId="0" borderId="4" xfId="1" applyNumberFormat="1" applyFont="1" applyBorder="1">
      <alignment vertical="center"/>
    </xf>
    <xf numFmtId="176" fontId="2" fillId="0" borderId="5" xfId="1" applyNumberFormat="1" applyFont="1" applyBorder="1">
      <alignment vertical="center"/>
    </xf>
    <xf numFmtId="176" fontId="4" fillId="0" borderId="6" xfId="2" applyNumberFormat="1" applyFont="1" applyBorder="1" applyAlignment="1">
      <alignment vertical="center" wrapText="1"/>
    </xf>
    <xf numFmtId="176" fontId="6" fillId="0" borderId="7" xfId="3" applyNumberFormat="1" applyFont="1" applyBorder="1">
      <alignment vertical="center"/>
    </xf>
    <xf numFmtId="0" fontId="7" fillId="0" borderId="8" xfId="3" applyFont="1" applyBorder="1">
      <alignment vertical="center"/>
    </xf>
    <xf numFmtId="176" fontId="6" fillId="0" borderId="9" xfId="3" applyNumberFormat="1" applyFont="1" applyBorder="1">
      <alignment vertical="center"/>
    </xf>
    <xf numFmtId="176" fontId="6" fillId="0" borderId="5" xfId="3" applyNumberFormat="1" applyFont="1" applyBorder="1">
      <alignment vertical="center"/>
    </xf>
    <xf numFmtId="176" fontId="6" fillId="0" borderId="10" xfId="3" applyNumberFormat="1" applyFont="1" applyBorder="1">
      <alignment vertical="center"/>
    </xf>
    <xf numFmtId="176" fontId="2" fillId="0" borderId="11" xfId="1" applyNumberFormat="1" applyFont="1" applyBorder="1">
      <alignment vertical="center"/>
    </xf>
    <xf numFmtId="176" fontId="9" fillId="2" borderId="9" xfId="3" applyNumberFormat="1" applyFont="1" applyFill="1" applyBorder="1" applyAlignment="1">
      <alignment horizontal="right" vertical="center"/>
    </xf>
    <xf numFmtId="176" fontId="9" fillId="2" borderId="5" xfId="3" applyNumberFormat="1" applyFont="1" applyFill="1" applyBorder="1" applyAlignment="1">
      <alignment horizontal="right" vertical="center"/>
    </xf>
    <xf numFmtId="176" fontId="9" fillId="2" borderId="10" xfId="3" applyNumberFormat="1" applyFont="1" applyFill="1" applyBorder="1" applyAlignment="1">
      <alignment horizontal="right" vertical="center"/>
    </xf>
    <xf numFmtId="176" fontId="6" fillId="0" borderId="5" xfId="3" applyNumberFormat="1" applyFont="1" applyBorder="1" applyAlignment="1">
      <alignment wrapText="1" shrinkToFit="1"/>
    </xf>
    <xf numFmtId="176" fontId="4" fillId="0" borderId="10" xfId="3" applyNumberFormat="1" applyFont="1" applyBorder="1" applyAlignment="1">
      <alignment horizontal="center" vertical="center"/>
    </xf>
    <xf numFmtId="176" fontId="6" fillId="2" borderId="9" xfId="3" applyNumberFormat="1" applyFont="1" applyFill="1" applyBorder="1">
      <alignment vertical="center"/>
    </xf>
    <xf numFmtId="176" fontId="6" fillId="2" borderId="5" xfId="3" applyNumberFormat="1" applyFont="1" applyFill="1" applyBorder="1">
      <alignment vertical="center"/>
    </xf>
    <xf numFmtId="176" fontId="6" fillId="2" borderId="10" xfId="3" applyNumberFormat="1" applyFont="1" applyFill="1" applyBorder="1">
      <alignment vertical="center"/>
    </xf>
    <xf numFmtId="176" fontId="13" fillId="0" borderId="5" xfId="3" applyNumberFormat="1" applyFont="1" applyBorder="1" applyAlignment="1">
      <alignment vertical="center" wrapText="1"/>
    </xf>
    <xf numFmtId="176" fontId="14" fillId="0" borderId="9" xfId="3" applyNumberFormat="1" applyFont="1" applyBorder="1" applyAlignment="1">
      <alignment horizontal="center" wrapText="1"/>
    </xf>
    <xf numFmtId="176" fontId="14" fillId="0" borderId="5" xfId="3" applyNumberFormat="1" applyFont="1" applyBorder="1" applyAlignment="1">
      <alignment horizontal="center" wrapText="1"/>
    </xf>
    <xf numFmtId="176" fontId="2" fillId="0" borderId="15" xfId="1" applyNumberFormat="1" applyFont="1" applyBorder="1">
      <alignment vertical="center"/>
    </xf>
    <xf numFmtId="176" fontId="2" fillId="0" borderId="16" xfId="1" applyNumberFormat="1" applyFont="1" applyBorder="1">
      <alignment vertical="center"/>
    </xf>
    <xf numFmtId="176" fontId="2" fillId="0" borderId="17" xfId="1" applyNumberFormat="1" applyFont="1" applyBorder="1">
      <alignment vertical="center"/>
    </xf>
    <xf numFmtId="176" fontId="2" fillId="0" borderId="18" xfId="1" applyNumberFormat="1" applyFont="1" applyBorder="1">
      <alignment vertical="center"/>
    </xf>
    <xf numFmtId="0" fontId="18" fillId="0" borderId="0" xfId="0" applyFont="1">
      <alignment vertical="center"/>
    </xf>
    <xf numFmtId="0" fontId="19" fillId="4" borderId="19" xfId="0" applyFont="1" applyFill="1" applyBorder="1" applyAlignment="1">
      <alignment horizontal="center" vertical="center"/>
    </xf>
    <xf numFmtId="1" fontId="19" fillId="0" borderId="19" xfId="0" applyNumberFormat="1" applyFont="1" applyBorder="1" applyAlignment="1">
      <alignment horizontal="center" vertical="center"/>
    </xf>
    <xf numFmtId="177" fontId="19" fillId="0" borderId="19" xfId="0" applyNumberFormat="1" applyFont="1" applyBorder="1" applyAlignment="1">
      <alignment horizontal="center" vertical="center"/>
    </xf>
    <xf numFmtId="14" fontId="19" fillId="0" borderId="19" xfId="0" applyNumberFormat="1" applyFont="1" applyBorder="1" applyAlignment="1">
      <alignment horizontal="center" vertical="center"/>
    </xf>
    <xf numFmtId="0" fontId="19" fillId="0" borderId="19" xfId="0" applyFont="1" applyBorder="1" applyAlignment="1">
      <alignment horizontal="left" vertical="center"/>
    </xf>
    <xf numFmtId="0" fontId="19" fillId="0" borderId="19" xfId="0" applyFont="1" applyBorder="1" applyAlignment="1">
      <alignment horizontal="center" vertical="center"/>
    </xf>
    <xf numFmtId="0" fontId="19" fillId="0" borderId="19" xfId="0" applyFont="1" applyBorder="1" applyAlignment="1">
      <alignment horizontal="left" vertical="center" wrapText="1"/>
    </xf>
    <xf numFmtId="0" fontId="21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 wrapText="1"/>
    </xf>
    <xf numFmtId="0" fontId="23" fillId="6" borderId="20" xfId="0" applyFont="1" applyFill="1" applyBorder="1" applyAlignment="1">
      <alignment horizontal="center" vertical="center" wrapText="1"/>
    </xf>
    <xf numFmtId="0" fontId="23" fillId="0" borderId="20" xfId="0" applyFont="1" applyBorder="1" applyAlignment="1">
      <alignment vertical="center" wrapText="1"/>
    </xf>
    <xf numFmtId="0" fontId="23" fillId="6" borderId="20" xfId="0" applyFont="1" applyFill="1" applyBorder="1" applyAlignment="1">
      <alignment horizontal="left" vertical="center" wrapText="1"/>
    </xf>
    <xf numFmtId="0" fontId="23" fillId="9" borderId="20" xfId="0" applyFont="1" applyFill="1" applyBorder="1" applyAlignment="1">
      <alignment horizontal="center" vertical="center" wrapText="1"/>
    </xf>
    <xf numFmtId="0" fontId="23" fillId="0" borderId="0" xfId="0" applyFont="1">
      <alignment vertical="center"/>
    </xf>
    <xf numFmtId="0" fontId="24" fillId="8" borderId="25" xfId="0" applyFont="1" applyFill="1" applyBorder="1" applyAlignment="1">
      <alignment horizontal="center" vertical="center" wrapText="1"/>
    </xf>
    <xf numFmtId="0" fontId="23" fillId="10" borderId="20" xfId="0" applyFont="1" applyFill="1" applyBorder="1" applyAlignment="1">
      <alignment horizontal="center" vertical="center" wrapText="1"/>
    </xf>
    <xf numFmtId="0" fontId="23" fillId="10" borderId="20" xfId="0" quotePrefix="1" applyFont="1" applyFill="1" applyBorder="1" applyAlignment="1">
      <alignment horizontal="center" vertical="center" wrapText="1"/>
    </xf>
    <xf numFmtId="0" fontId="23" fillId="10" borderId="20" xfId="0" applyFont="1" applyFill="1" applyBorder="1" applyAlignment="1">
      <alignment horizontal="left" vertical="center" wrapText="1"/>
    </xf>
    <xf numFmtId="0" fontId="23" fillId="0" borderId="20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9" fontId="23" fillId="10" borderId="20" xfId="0" applyNumberFormat="1" applyFont="1" applyFill="1" applyBorder="1" applyAlignment="1">
      <alignment horizontal="center" vertical="center" wrapText="1"/>
    </xf>
    <xf numFmtId="0" fontId="23" fillId="0" borderId="20" xfId="0" applyFont="1" applyBorder="1">
      <alignment vertical="center"/>
    </xf>
    <xf numFmtId="0" fontId="31" fillId="0" borderId="0" xfId="0" applyFont="1">
      <alignment vertical="center"/>
    </xf>
    <xf numFmtId="0" fontId="32" fillId="11" borderId="20" xfId="0" applyFont="1" applyFill="1" applyBorder="1" applyAlignment="1">
      <alignment horizontal="center" vertical="center" wrapText="1" readingOrder="1"/>
    </xf>
    <xf numFmtId="0" fontId="32" fillId="12" borderId="20" xfId="0" applyFont="1" applyFill="1" applyBorder="1" applyAlignment="1">
      <alignment horizontal="center" vertical="center" wrapText="1" readingOrder="1"/>
    </xf>
    <xf numFmtId="9" fontId="25" fillId="13" borderId="20" xfId="0" applyNumberFormat="1" applyFont="1" applyFill="1" applyBorder="1" applyAlignment="1">
      <alignment horizontal="left" vertical="center" wrapText="1" indent="1" readingOrder="1"/>
    </xf>
    <xf numFmtId="0" fontId="23" fillId="13" borderId="20" xfId="0" applyFont="1" applyFill="1" applyBorder="1" applyAlignment="1">
      <alignment horizontal="center" vertical="center" wrapText="1" readingOrder="1"/>
    </xf>
    <xf numFmtId="0" fontId="25" fillId="0" borderId="20" xfId="0" applyFont="1" applyBorder="1" applyAlignment="1">
      <alignment horizontal="left" vertical="center" wrapText="1" indent="1" readingOrder="1"/>
    </xf>
    <xf numFmtId="0" fontId="23" fillId="12" borderId="20" xfId="0" applyFont="1" applyFill="1" applyBorder="1" applyAlignment="1">
      <alignment horizontal="center" vertical="center" wrapText="1"/>
    </xf>
    <xf numFmtId="0" fontId="23" fillId="13" borderId="20" xfId="0" quotePrefix="1" applyFont="1" applyFill="1" applyBorder="1" applyAlignment="1">
      <alignment horizontal="center" vertical="center" wrapText="1" readingOrder="1"/>
    </xf>
    <xf numFmtId="0" fontId="23" fillId="14" borderId="20" xfId="0" applyFont="1" applyFill="1" applyBorder="1" applyAlignment="1">
      <alignment horizontal="center" vertical="center" wrapText="1"/>
    </xf>
    <xf numFmtId="0" fontId="23" fillId="0" borderId="20" xfId="0" applyFont="1" applyBorder="1" applyAlignment="1">
      <alignment horizontal="left" vertical="center" wrapText="1"/>
    </xf>
    <xf numFmtId="0" fontId="27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 wrapText="1"/>
    </xf>
    <xf numFmtId="0" fontId="23" fillId="6" borderId="20" xfId="0" quotePrefix="1" applyFont="1" applyFill="1" applyBorder="1" applyAlignment="1">
      <alignment horizontal="left" vertical="center" wrapText="1"/>
    </xf>
    <xf numFmtId="0" fontId="23" fillId="0" borderId="20" xfId="0" quotePrefix="1" applyFont="1" applyBorder="1" applyAlignment="1">
      <alignment horizontal="left" vertical="center" wrapText="1"/>
    </xf>
    <xf numFmtId="0" fontId="23" fillId="6" borderId="0" xfId="0" applyFont="1" applyFill="1" applyAlignment="1">
      <alignment vertical="center" wrapText="1"/>
    </xf>
    <xf numFmtId="0" fontId="25" fillId="6" borderId="20" xfId="0" quotePrefix="1" applyFont="1" applyFill="1" applyBorder="1" applyAlignment="1">
      <alignment horizontal="left" vertical="center" wrapText="1"/>
    </xf>
    <xf numFmtId="0" fontId="19" fillId="0" borderId="19" xfId="0" quotePrefix="1" applyFont="1" applyBorder="1" applyAlignment="1">
      <alignment horizontal="left" vertical="center" wrapText="1"/>
    </xf>
    <xf numFmtId="0" fontId="23" fillId="14" borderId="20" xfId="0" applyFont="1" applyFill="1" applyBorder="1" applyAlignment="1">
      <alignment horizontal="center" vertical="center" wrapText="1" readingOrder="1"/>
    </xf>
    <xf numFmtId="0" fontId="23" fillId="5" borderId="20" xfId="0" applyFont="1" applyFill="1" applyBorder="1" applyAlignment="1">
      <alignment horizontal="center" vertical="center" wrapText="1"/>
    </xf>
    <xf numFmtId="0" fontId="24" fillId="8" borderId="0" xfId="0" applyFont="1" applyFill="1" applyAlignment="1">
      <alignment horizontal="center" vertical="center" wrapText="1"/>
    </xf>
    <xf numFmtId="9" fontId="25" fillId="13" borderId="20" xfId="0" applyNumberFormat="1" applyFont="1" applyFill="1" applyBorder="1" applyAlignment="1">
      <alignment horizontal="center" vertical="center" wrapText="1" readingOrder="1"/>
    </xf>
    <xf numFmtId="0" fontId="25" fillId="0" borderId="20" xfId="0" applyFont="1" applyBorder="1" applyAlignment="1">
      <alignment horizontal="center" vertical="center" wrapText="1" readingOrder="1"/>
    </xf>
    <xf numFmtId="0" fontId="38" fillId="6" borderId="20" xfId="0" applyFont="1" applyFill="1" applyBorder="1" applyAlignment="1">
      <alignment vertical="center" wrapText="1"/>
    </xf>
    <xf numFmtId="0" fontId="38" fillId="0" borderId="20" xfId="0" applyFont="1" applyBorder="1" applyAlignment="1">
      <alignment vertical="center" wrapText="1"/>
    </xf>
    <xf numFmtId="0" fontId="39" fillId="5" borderId="26" xfId="0" applyFont="1" applyFill="1" applyBorder="1" applyAlignment="1">
      <alignment horizontal="center" vertical="center" wrapText="1"/>
    </xf>
    <xf numFmtId="0" fontId="23" fillId="6" borderId="20" xfId="0" quotePrefix="1" applyFont="1" applyFill="1" applyBorder="1" applyAlignment="1">
      <alignment horizontal="center" vertical="center" wrapText="1"/>
    </xf>
    <xf numFmtId="0" fontId="23" fillId="0" borderId="20" xfId="0" quotePrefix="1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1" fillId="0" borderId="0" xfId="0" applyFont="1" applyAlignment="1">
      <alignment vertical="center" wrapText="1"/>
    </xf>
    <xf numFmtId="0" fontId="34" fillId="0" borderId="0" xfId="0" applyFont="1">
      <alignment vertical="center"/>
    </xf>
    <xf numFmtId="0" fontId="33" fillId="0" borderId="0" xfId="0" applyFont="1">
      <alignment vertical="center"/>
    </xf>
    <xf numFmtId="0" fontId="33" fillId="10" borderId="20" xfId="0" applyFont="1" applyFill="1" applyBorder="1" applyAlignment="1">
      <alignment horizontal="center" vertical="center"/>
    </xf>
    <xf numFmtId="0" fontId="33" fillId="10" borderId="20" xfId="0" applyFont="1" applyFill="1" applyBorder="1" applyAlignment="1">
      <alignment horizontal="center" vertical="center" wrapText="1" readingOrder="1"/>
    </xf>
    <xf numFmtId="0" fontId="39" fillId="5" borderId="26" xfId="0" applyFont="1" applyFill="1" applyBorder="1" applyAlignment="1" applyProtection="1">
      <alignment horizontal="center" vertical="center" wrapText="1"/>
      <protection locked="0"/>
    </xf>
    <xf numFmtId="0" fontId="38" fillId="6" borderId="20" xfId="0" applyFont="1" applyFill="1" applyBorder="1" applyAlignment="1" applyProtection="1">
      <alignment vertical="center" wrapText="1"/>
      <protection locked="0"/>
    </xf>
    <xf numFmtId="0" fontId="38" fillId="0" borderId="20" xfId="0" applyFont="1" applyBorder="1" applyAlignment="1" applyProtection="1">
      <alignment vertical="center" wrapText="1"/>
      <protection locked="0"/>
    </xf>
    <xf numFmtId="0" fontId="33" fillId="10" borderId="26" xfId="0" applyFont="1" applyFill="1" applyBorder="1" applyAlignment="1">
      <alignment horizontal="center" vertical="center"/>
    </xf>
    <xf numFmtId="0" fontId="33" fillId="10" borderId="26" xfId="0" applyFont="1" applyFill="1" applyBorder="1" applyAlignment="1">
      <alignment horizontal="center" vertical="center" wrapText="1" readingOrder="1"/>
    </xf>
    <xf numFmtId="1" fontId="40" fillId="10" borderId="23" xfId="0" applyNumberFormat="1" applyFont="1" applyFill="1" applyBorder="1" applyAlignment="1">
      <alignment horizontal="center" vertical="center" wrapText="1" readingOrder="1"/>
    </xf>
    <xf numFmtId="0" fontId="23" fillId="15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>
      <alignment vertical="center"/>
    </xf>
    <xf numFmtId="0" fontId="34" fillId="0" borderId="0" xfId="0" applyFont="1" applyAlignment="1">
      <alignment horizontal="left" vertical="center"/>
    </xf>
    <xf numFmtId="0" fontId="18" fillId="15" borderId="20" xfId="0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 wrapText="1"/>
    </xf>
    <xf numFmtId="0" fontId="29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32" fillId="12" borderId="26" xfId="0" applyFont="1" applyFill="1" applyBorder="1" applyAlignment="1">
      <alignment horizontal="center" vertical="center" wrapText="1" readingOrder="1"/>
    </xf>
    <xf numFmtId="1" fontId="44" fillId="7" borderId="39" xfId="0" applyNumberFormat="1" applyFont="1" applyFill="1" applyBorder="1" applyAlignment="1" applyProtection="1">
      <alignment horizontal="center" vertical="center" wrapText="1" readingOrder="1"/>
      <protection locked="0"/>
    </xf>
    <xf numFmtId="1" fontId="45" fillId="7" borderId="39" xfId="0" applyNumberFormat="1" applyFont="1" applyFill="1" applyBorder="1" applyAlignment="1" applyProtection="1">
      <alignment horizontal="center" vertical="center" wrapText="1" readingOrder="1"/>
      <protection locked="0"/>
    </xf>
    <xf numFmtId="0" fontId="45" fillId="0" borderId="20" xfId="0" applyFont="1" applyBorder="1" applyAlignment="1" applyProtection="1">
      <alignment horizontal="center" vertical="center"/>
      <protection locked="0"/>
    </xf>
    <xf numFmtId="9" fontId="25" fillId="13" borderId="26" xfId="0" applyNumberFormat="1" applyFont="1" applyFill="1" applyBorder="1" applyAlignment="1">
      <alignment horizontal="center" vertical="center" wrapText="1" readingOrder="1"/>
    </xf>
    <xf numFmtId="0" fontId="38" fillId="0" borderId="24" xfId="0" applyFont="1" applyBorder="1" applyAlignment="1" applyProtection="1">
      <alignment vertical="center" wrapText="1"/>
      <protection locked="0"/>
    </xf>
    <xf numFmtId="1" fontId="23" fillId="7" borderId="20" xfId="0" applyNumberFormat="1" applyFont="1" applyFill="1" applyBorder="1" applyAlignment="1" applyProtection="1">
      <alignment horizontal="center" vertical="center" wrapText="1" readingOrder="1"/>
      <protection locked="0"/>
    </xf>
    <xf numFmtId="1" fontId="23" fillId="7" borderId="20" xfId="0" applyNumberFormat="1" applyFont="1" applyFill="1" applyBorder="1" applyAlignment="1" applyProtection="1">
      <alignment horizontal="left" vertical="center" wrapText="1" readingOrder="1"/>
      <protection locked="0"/>
    </xf>
    <xf numFmtId="1" fontId="23" fillId="7" borderId="20" xfId="0" quotePrefix="1" applyNumberFormat="1" applyFont="1" applyFill="1" applyBorder="1" applyAlignment="1" applyProtection="1">
      <alignment horizontal="left" vertical="center" wrapText="1" readingOrder="1"/>
      <protection locked="0"/>
    </xf>
    <xf numFmtId="176" fontId="8" fillId="0" borderId="12" xfId="3" applyNumberFormat="1" applyFont="1" applyBorder="1" applyAlignment="1">
      <alignment horizontal="left" vertical="center"/>
    </xf>
    <xf numFmtId="176" fontId="8" fillId="0" borderId="11" xfId="3" applyNumberFormat="1" applyFont="1" applyBorder="1" applyAlignment="1">
      <alignment horizontal="left" vertical="center"/>
    </xf>
    <xf numFmtId="176" fontId="8" fillId="0" borderId="13" xfId="3" applyNumberFormat="1" applyFont="1" applyBorder="1" applyAlignment="1">
      <alignment horizontal="left" vertical="center"/>
    </xf>
    <xf numFmtId="176" fontId="10" fillId="0" borderId="9" xfId="3" applyNumberFormat="1" applyFont="1" applyBorder="1" applyAlignment="1">
      <alignment horizontal="center" vertical="center" wrapText="1"/>
    </xf>
    <xf numFmtId="176" fontId="11" fillId="0" borderId="5" xfId="3" applyNumberFormat="1" applyFont="1" applyBorder="1" applyAlignment="1">
      <alignment horizontal="center" vertical="center" wrapText="1"/>
    </xf>
    <xf numFmtId="176" fontId="11" fillId="0" borderId="10" xfId="3" applyNumberFormat="1" applyFont="1" applyBorder="1" applyAlignment="1">
      <alignment horizontal="center" vertical="center" wrapText="1"/>
    </xf>
    <xf numFmtId="176" fontId="15" fillId="0" borderId="14" xfId="3" applyNumberFormat="1" applyFont="1" applyBorder="1" applyAlignment="1">
      <alignment horizontal="center" vertical="center" wrapText="1"/>
    </xf>
    <xf numFmtId="176" fontId="15" fillId="0" borderId="11" xfId="3" applyNumberFormat="1" applyFont="1" applyBorder="1" applyAlignment="1">
      <alignment horizontal="center" vertical="center"/>
    </xf>
    <xf numFmtId="176" fontId="15" fillId="0" borderId="4" xfId="3" applyNumberFormat="1" applyFont="1" applyBorder="1" applyAlignment="1">
      <alignment horizontal="center" vertical="center"/>
    </xf>
    <xf numFmtId="0" fontId="16" fillId="0" borderId="14" xfId="3" applyFont="1" applyBorder="1" applyAlignment="1">
      <alignment horizontal="center" vertical="center"/>
    </xf>
    <xf numFmtId="0" fontId="16" fillId="0" borderId="4" xfId="3" applyFont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1" fontId="43" fillId="7" borderId="30" xfId="0" applyNumberFormat="1" applyFont="1" applyFill="1" applyBorder="1" applyAlignment="1" applyProtection="1">
      <alignment horizontal="left" vertical="center" wrapText="1" readingOrder="1"/>
      <protection locked="0"/>
    </xf>
    <xf numFmtId="0" fontId="42" fillId="0" borderId="28" xfId="0" applyFont="1" applyBorder="1" applyAlignment="1" applyProtection="1">
      <alignment horizontal="left" vertical="center" wrapText="1" readingOrder="1"/>
      <protection locked="0"/>
    </xf>
    <xf numFmtId="0" fontId="42" fillId="0" borderId="29" xfId="0" applyFont="1" applyBorder="1" applyAlignment="1" applyProtection="1">
      <alignment horizontal="left" vertical="center" wrapText="1" readingOrder="1"/>
      <protection locked="0"/>
    </xf>
    <xf numFmtId="0" fontId="33" fillId="10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33" fillId="10" borderId="31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 applyProtection="1">
      <alignment horizontal="right" vertical="center"/>
      <protection locked="0"/>
    </xf>
    <xf numFmtId="0" fontId="0" fillId="0" borderId="26" xfId="0" applyBorder="1" applyAlignment="1">
      <alignment horizontal="center" vertical="center"/>
    </xf>
    <xf numFmtId="1" fontId="43" fillId="7" borderId="42" xfId="0" applyNumberFormat="1" applyFont="1" applyFill="1" applyBorder="1" applyAlignment="1" applyProtection="1">
      <alignment horizontal="left" vertical="center" wrapText="1" readingOrder="1"/>
      <protection locked="0"/>
    </xf>
    <xf numFmtId="0" fontId="42" fillId="0" borderId="43" xfId="0" applyFont="1" applyBorder="1" applyAlignment="1" applyProtection="1">
      <alignment horizontal="left" vertical="center" wrapText="1" readingOrder="1"/>
      <protection locked="0"/>
    </xf>
    <xf numFmtId="0" fontId="0" fillId="0" borderId="43" xfId="0" applyBorder="1" applyProtection="1">
      <alignment vertical="center"/>
      <protection locked="0"/>
    </xf>
    <xf numFmtId="0" fontId="0" fillId="0" borderId="44" xfId="0" applyBorder="1" applyProtection="1">
      <alignment vertical="center"/>
      <protection locked="0"/>
    </xf>
    <xf numFmtId="1" fontId="43" fillId="7" borderId="30" xfId="0" quotePrefix="1" applyNumberFormat="1" applyFont="1" applyFill="1" applyBorder="1" applyAlignment="1" applyProtection="1">
      <alignment horizontal="left" vertical="center" wrapText="1" readingOrder="1"/>
      <protection locked="0"/>
    </xf>
    <xf numFmtId="0" fontId="34" fillId="0" borderId="30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5" fillId="0" borderId="28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" fontId="43" fillId="7" borderId="34" xfId="0" applyNumberFormat="1" applyFont="1" applyFill="1" applyBorder="1" applyAlignment="1" applyProtection="1">
      <alignment horizontal="left" vertical="center" wrapText="1" readingOrder="1"/>
      <protection locked="0"/>
    </xf>
    <xf numFmtId="0" fontId="42" fillId="0" borderId="35" xfId="0" applyFont="1" applyBorder="1" applyAlignment="1" applyProtection="1">
      <alignment horizontal="left" vertical="center" wrapText="1" readingOrder="1"/>
      <protection locked="0"/>
    </xf>
    <xf numFmtId="0" fontId="0" fillId="0" borderId="35" xfId="0" applyBorder="1" applyProtection="1">
      <alignment vertical="center"/>
      <protection locked="0"/>
    </xf>
    <xf numFmtId="0" fontId="0" fillId="0" borderId="36" xfId="0" applyBorder="1" applyProtection="1">
      <alignment vertical="center"/>
      <protection locked="0"/>
    </xf>
    <xf numFmtId="1" fontId="43" fillId="7" borderId="40" xfId="0" applyNumberFormat="1" applyFont="1" applyFill="1" applyBorder="1" applyAlignment="1" applyProtection="1">
      <alignment horizontal="left" vertical="center" wrapText="1" readingOrder="1"/>
      <protection locked="0"/>
    </xf>
    <xf numFmtId="0" fontId="42" fillId="0" borderId="27" xfId="0" applyFont="1" applyBorder="1" applyAlignment="1" applyProtection="1">
      <alignment horizontal="left" vertical="center" wrapText="1" readingOrder="1"/>
      <protection locked="0"/>
    </xf>
    <xf numFmtId="0" fontId="0" fillId="0" borderId="27" xfId="0" applyBorder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22" fillId="5" borderId="22" xfId="0" applyFont="1" applyFill="1" applyBorder="1" applyAlignment="1">
      <alignment horizontal="center" vertical="center" wrapText="1"/>
    </xf>
    <xf numFmtId="0" fontId="22" fillId="5" borderId="0" xfId="0" applyFont="1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5" borderId="26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3" fillId="5" borderId="26" xfId="0" applyFont="1" applyFill="1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23" fillId="5" borderId="23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" fontId="23" fillId="7" borderId="20" xfId="0" applyNumberFormat="1" applyFont="1" applyFill="1" applyBorder="1" applyAlignment="1" applyProtection="1">
      <alignment horizontal="left" vertical="center" wrapText="1" readingOrder="1"/>
      <protection locked="0"/>
    </xf>
    <xf numFmtId="0" fontId="0" fillId="0" borderId="20" xfId="0" applyBorder="1">
      <alignment vertical="center"/>
    </xf>
    <xf numFmtId="0" fontId="23" fillId="9" borderId="26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9" borderId="23" xfId="0" applyFont="1" applyFill="1" applyBorder="1" applyAlignment="1">
      <alignment horizontal="center" vertical="center" wrapText="1"/>
    </xf>
    <xf numFmtId="0" fontId="23" fillId="9" borderId="31" xfId="0" applyFont="1" applyFill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8" xfId="0" applyBorder="1">
      <alignment vertical="center"/>
    </xf>
    <xf numFmtId="0" fontId="30" fillId="5" borderId="23" xfId="0" applyFont="1" applyFill="1" applyBorder="1" applyAlignment="1">
      <alignment horizontal="center" vertical="center"/>
    </xf>
    <xf numFmtId="0" fontId="30" fillId="5" borderId="27" xfId="0" applyFont="1" applyFill="1" applyBorder="1" applyAlignment="1">
      <alignment horizontal="center" vertical="center"/>
    </xf>
    <xf numFmtId="0" fontId="30" fillId="5" borderId="24" xfId="0" applyFont="1" applyFill="1" applyBorder="1" applyAlignment="1">
      <alignment horizontal="center" vertical="center"/>
    </xf>
  </cellXfs>
  <cellStyles count="4">
    <cellStyle name="표준" xfId="0" builtinId="0"/>
    <cellStyle name="표준 2 2" xfId="2" xr:uid="{00000000-0005-0000-0000-000001000000}"/>
    <cellStyle name="표준 3" xfId="1" xr:uid="{00000000-0005-0000-0000-000002000000}"/>
    <cellStyle name="표준_별첨표지및제개정이력" xfId="3" xr:uid="{00000000-0005-0000-0000-000003000000}"/>
  </cellStyles>
  <dxfs count="205"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FF0000"/>
      </font>
    </dxf>
    <dxf>
      <font>
        <color rgb="FF0000FF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19050</xdr:rowOff>
    </xdr:from>
    <xdr:to>
      <xdr:col>11</xdr:col>
      <xdr:colOff>142875</xdr:colOff>
      <xdr:row>22</xdr:row>
      <xdr:rowOff>51954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28600"/>
          <a:ext cx="7591425" cy="4433454"/>
        </a:xfrm>
        <a:prstGeom prst="rect">
          <a:avLst/>
        </a:prstGeom>
      </xdr:spPr>
    </xdr:pic>
    <xdr:clientData/>
  </xdr:twoCellAnchor>
  <xdr:twoCellAnchor editAs="oneCell">
    <xdr:from>
      <xdr:col>11</xdr:col>
      <xdr:colOff>314325</xdr:colOff>
      <xdr:row>1</xdr:row>
      <xdr:rowOff>19051</xdr:rowOff>
    </xdr:from>
    <xdr:to>
      <xdr:col>22</xdr:col>
      <xdr:colOff>342900</xdr:colOff>
      <xdr:row>22</xdr:row>
      <xdr:rowOff>40829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58125" y="228601"/>
          <a:ext cx="7572375" cy="44223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1388745</xdr:colOff>
          <xdr:row>3</xdr:row>
          <xdr:rowOff>247650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1398270</xdr:colOff>
          <xdr:row>3</xdr:row>
          <xdr:rowOff>281940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1398270</xdr:colOff>
          <xdr:row>3</xdr:row>
          <xdr:rowOff>304800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1402080</xdr:colOff>
          <xdr:row>3</xdr:row>
          <xdr:rowOff>327660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1402080</xdr:colOff>
          <xdr:row>3</xdr:row>
          <xdr:rowOff>335280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38100</xdr:rowOff>
        </xdr:from>
        <xdr:to>
          <xdr:col>14</xdr:col>
          <xdr:colOff>1402080</xdr:colOff>
          <xdr:row>3</xdr:row>
          <xdr:rowOff>327660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입력자료 검증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&#52572;&#54644;&#47329;\LOCALS~1\Temp\BZC32248\05.%20QA&#54876;&#46041;%20&#54788;&#54889;&#54032;\01.%20&#54645;&#49900;&#51088;&#49328;\02.%20&#50629;&#47924;&#51088;&#47308;\02.%20EPG%20&#50629;&#47924;\03.%2009&#45380;%20EPG%20&#54876;&#46041;\100.%20&#9733;CMMI%20HM%20&#51060;&#54665;%20&#54532;&#47196;&#51229;&#53944;\10.%20&#51221;&#47049;&#51201;%20&#45936;&#51060;&#53552;&#44288;&#47532;\02.%20&#52769;&#51221;&#46020;&#44396;\00.%20DPPM%20&#52572;&#51333;&#48260;&#51204;%20&#44288;&#47532;\AES%20DPPM%20Package_OO&#44592;&#53440;%20v3.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52280;&#50668;&#44208;&#51221;ORC_&#48169;&#44544;&#46972;&#45936;&#49884;%20BSM&#51032;&#45824;%20HIS%20&#44396;&#52629;&#49324;&#50629;_v3.0_20181016_&#45824;&#54364;&#51060;&#49324;&#48372;&#44256;%20(&#51069;&#44592;%20&#51204;&#50857;)&#51032;%20&#50892;&#53356;&#49884;&#5394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출력양식"/>
      <sheetName val="표지"/>
      <sheetName val="작성시 주의사항"/>
      <sheetName val="메인화면_OO"/>
      <sheetName val="코드집"/>
      <sheetName val="데이터분석"/>
      <sheetName val="Module2"/>
      <sheetName val="AES DPPM Package_OO기타 v3.00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4">
          <cell r="B24" t="str">
            <v>XXX 프로젝트</v>
          </cell>
          <cell r="C24" t="str">
            <v>홍길동</v>
          </cell>
          <cell r="I24">
            <v>1280000000</v>
          </cell>
          <cell r="J24">
            <v>0.62222222222222223</v>
          </cell>
          <cell r="K24" t="str">
            <v>이상</v>
          </cell>
          <cell r="L24">
            <v>0.83333333333333337</v>
          </cell>
          <cell r="M24" t="str">
            <v>정상</v>
          </cell>
          <cell r="N24">
            <v>0.79</v>
          </cell>
          <cell r="O24">
            <v>0.21</v>
          </cell>
          <cell r="P24" t="str">
            <v>정상</v>
          </cell>
          <cell r="Q24">
            <v>0.8</v>
          </cell>
          <cell r="R24">
            <v>0.2</v>
          </cell>
          <cell r="S24" t="str">
            <v>정상</v>
          </cell>
          <cell r="T24">
            <v>626</v>
          </cell>
          <cell r="U24">
            <v>46</v>
          </cell>
          <cell r="V24" t="str">
            <v>평균미달</v>
          </cell>
          <cell r="W24">
            <v>10</v>
          </cell>
          <cell r="X24" t="str">
            <v>정상</v>
          </cell>
          <cell r="Y24">
            <v>0.1875</v>
          </cell>
          <cell r="Z24" t="str">
            <v>정상</v>
          </cell>
          <cell r="AA24">
            <v>0.5</v>
          </cell>
          <cell r="AB24">
            <v>0.5</v>
          </cell>
          <cell r="AC24">
            <v>0.4</v>
          </cell>
          <cell r="AD24">
            <v>0.6</v>
          </cell>
          <cell r="AE24">
            <v>36</v>
          </cell>
          <cell r="AF24">
            <v>7</v>
          </cell>
          <cell r="AG24">
            <v>0.33333333333333331</v>
          </cell>
          <cell r="AH24">
            <v>0.5</v>
          </cell>
        </row>
        <row r="25">
          <cell r="B25" t="str">
            <v>YYY 프로젝트</v>
          </cell>
          <cell r="C25" t="str">
            <v>김유신</v>
          </cell>
          <cell r="I25">
            <v>190700000</v>
          </cell>
          <cell r="J25">
            <v>0.62222222222222223</v>
          </cell>
          <cell r="K25" t="str">
            <v>이상</v>
          </cell>
          <cell r="L25">
            <v>0.43</v>
          </cell>
          <cell r="M25" t="str">
            <v>이상</v>
          </cell>
          <cell r="N25">
            <v>0.25</v>
          </cell>
          <cell r="O25">
            <v>0.75</v>
          </cell>
          <cell r="P25" t="str">
            <v>이상</v>
          </cell>
          <cell r="Q25">
            <v>0.8</v>
          </cell>
          <cell r="R25">
            <v>0.2</v>
          </cell>
          <cell r="S25" t="str">
            <v>정상</v>
          </cell>
          <cell r="T25">
            <v>626</v>
          </cell>
          <cell r="U25">
            <v>290</v>
          </cell>
          <cell r="V25" t="str">
            <v>평균미달</v>
          </cell>
          <cell r="W25">
            <v>10</v>
          </cell>
          <cell r="X25" t="str">
            <v>정상</v>
          </cell>
          <cell r="Y25">
            <v>0.1875</v>
          </cell>
          <cell r="Z25" t="str">
            <v>정상</v>
          </cell>
          <cell r="AA25">
            <v>0.5</v>
          </cell>
          <cell r="AB25">
            <v>0.5</v>
          </cell>
          <cell r="AC25">
            <v>0.4</v>
          </cell>
          <cell r="AD25">
            <v>0.6</v>
          </cell>
          <cell r="AE25">
            <v>36</v>
          </cell>
          <cell r="AF25">
            <v>7</v>
          </cell>
          <cell r="AG25">
            <v>0.33333333333333331</v>
          </cell>
          <cell r="AH25">
            <v>0.5</v>
          </cell>
        </row>
        <row r="26">
          <cell r="B26" t="str">
            <v>ZZZ 프로젝트</v>
          </cell>
          <cell r="C26" t="str">
            <v>강감찬</v>
          </cell>
          <cell r="I26">
            <v>280000000</v>
          </cell>
          <cell r="J26">
            <v>0.98</v>
          </cell>
          <cell r="K26" t="str">
            <v>정상</v>
          </cell>
          <cell r="L26">
            <v>0.83333333333333337</v>
          </cell>
          <cell r="M26" t="str">
            <v>정상</v>
          </cell>
          <cell r="N26">
            <v>0.89</v>
          </cell>
          <cell r="O26">
            <v>0.11</v>
          </cell>
          <cell r="P26" t="str">
            <v>정상</v>
          </cell>
          <cell r="Q26">
            <v>0.4</v>
          </cell>
          <cell r="R26">
            <v>0.22</v>
          </cell>
          <cell r="S26" t="str">
            <v>이상</v>
          </cell>
          <cell r="T26">
            <v>626</v>
          </cell>
          <cell r="U26">
            <v>600</v>
          </cell>
          <cell r="V26" t="str">
            <v>정상</v>
          </cell>
          <cell r="W26">
            <v>10</v>
          </cell>
          <cell r="X26" t="str">
            <v>정상</v>
          </cell>
          <cell r="Y26">
            <v>0.1875</v>
          </cell>
          <cell r="Z26" t="str">
            <v>정상</v>
          </cell>
          <cell r="AA26">
            <v>0.5</v>
          </cell>
          <cell r="AB26">
            <v>0.5</v>
          </cell>
          <cell r="AC26">
            <v>0.4</v>
          </cell>
          <cell r="AD26">
            <v>0.6</v>
          </cell>
          <cell r="AE26">
            <v>120</v>
          </cell>
          <cell r="AF26">
            <v>23</v>
          </cell>
          <cell r="AG26">
            <v>0.33333333333333331</v>
          </cell>
          <cell r="AH26">
            <v>0.5</v>
          </cell>
        </row>
        <row r="27">
          <cell r="B27" t="str">
            <v>GGG 프로젝트</v>
          </cell>
          <cell r="C27" t="str">
            <v>김좌진</v>
          </cell>
          <cell r="I27">
            <v>256000000</v>
          </cell>
          <cell r="J27">
            <v>0.62222222222222223</v>
          </cell>
          <cell r="K27" t="str">
            <v>이상</v>
          </cell>
          <cell r="L27">
            <v>0.57999999999999996</v>
          </cell>
          <cell r="M27" t="str">
            <v>이상</v>
          </cell>
          <cell r="N27">
            <v>0.5</v>
          </cell>
          <cell r="O27">
            <v>0.5</v>
          </cell>
          <cell r="P27" t="str">
            <v>이상</v>
          </cell>
          <cell r="Q27">
            <v>0.4</v>
          </cell>
          <cell r="R27">
            <v>0.22</v>
          </cell>
          <cell r="S27" t="str">
            <v>이상</v>
          </cell>
          <cell r="T27">
            <v>626</v>
          </cell>
          <cell r="U27">
            <v>46</v>
          </cell>
          <cell r="V27" t="str">
            <v>평균미달</v>
          </cell>
          <cell r="W27">
            <v>10</v>
          </cell>
          <cell r="X27" t="str">
            <v>정상</v>
          </cell>
          <cell r="Y27">
            <v>0.1875</v>
          </cell>
          <cell r="Z27" t="str">
            <v>정상</v>
          </cell>
          <cell r="AA27">
            <v>0.5</v>
          </cell>
          <cell r="AB27">
            <v>0.5</v>
          </cell>
          <cell r="AC27">
            <v>0.4</v>
          </cell>
          <cell r="AD27">
            <v>0.6</v>
          </cell>
          <cell r="AE27">
            <v>36</v>
          </cell>
          <cell r="AF27">
            <v>7</v>
          </cell>
          <cell r="AG27">
            <v>0.33333333333333331</v>
          </cell>
          <cell r="AH27">
            <v>0.5</v>
          </cell>
        </row>
        <row r="28">
          <cell r="B28" t="str">
            <v>HHH 프로젝트</v>
          </cell>
          <cell r="C28" t="str">
            <v>장영실</v>
          </cell>
          <cell r="I28">
            <v>3000000000</v>
          </cell>
          <cell r="J28">
            <v>0.89</v>
          </cell>
          <cell r="K28" t="str">
            <v>정상</v>
          </cell>
          <cell r="L28">
            <v>0.83333333333333337</v>
          </cell>
          <cell r="M28" t="str">
            <v>정상</v>
          </cell>
          <cell r="N28">
            <v>0.5</v>
          </cell>
          <cell r="O28">
            <v>0.5</v>
          </cell>
          <cell r="P28" t="str">
            <v>이상</v>
          </cell>
          <cell r="Q28">
            <v>0.8</v>
          </cell>
          <cell r="R28">
            <v>0.2</v>
          </cell>
          <cell r="S28" t="str">
            <v>정상</v>
          </cell>
          <cell r="T28">
            <v>626</v>
          </cell>
          <cell r="U28">
            <v>46</v>
          </cell>
          <cell r="V28" t="str">
            <v>평균미달</v>
          </cell>
          <cell r="W28">
            <v>10</v>
          </cell>
          <cell r="X28" t="str">
            <v>정상</v>
          </cell>
          <cell r="Y28">
            <v>0.1875</v>
          </cell>
          <cell r="Z28" t="str">
            <v>정상</v>
          </cell>
          <cell r="AA28">
            <v>0.5</v>
          </cell>
          <cell r="AB28">
            <v>0.5</v>
          </cell>
          <cell r="AC28">
            <v>0.4</v>
          </cell>
          <cell r="AD28">
            <v>0.6</v>
          </cell>
          <cell r="AE28">
            <v>36</v>
          </cell>
          <cell r="AF28">
            <v>22</v>
          </cell>
          <cell r="AG28">
            <v>0.33333333333333331</v>
          </cell>
          <cell r="AH28">
            <v>0.5</v>
          </cell>
        </row>
        <row r="29">
          <cell r="B29" t="str">
            <v>KKK 프로젝트</v>
          </cell>
          <cell r="C29" t="str">
            <v>김설란</v>
          </cell>
          <cell r="I29">
            <v>9000000000</v>
          </cell>
          <cell r="J29">
            <v>0.62222222222222223</v>
          </cell>
          <cell r="K29" t="str">
            <v>이상</v>
          </cell>
          <cell r="L29">
            <v>0.25</v>
          </cell>
          <cell r="M29" t="str">
            <v>이상</v>
          </cell>
          <cell r="N29">
            <v>0.5</v>
          </cell>
          <cell r="O29">
            <v>0.5</v>
          </cell>
          <cell r="P29" t="str">
            <v>이상</v>
          </cell>
          <cell r="Q29">
            <v>0.4</v>
          </cell>
          <cell r="R29">
            <v>0.22</v>
          </cell>
          <cell r="S29" t="str">
            <v>이상</v>
          </cell>
          <cell r="T29">
            <v>626</v>
          </cell>
          <cell r="U29">
            <v>46</v>
          </cell>
          <cell r="V29" t="str">
            <v>평균미달</v>
          </cell>
          <cell r="W29">
            <v>10</v>
          </cell>
          <cell r="X29" t="str">
            <v>정상</v>
          </cell>
          <cell r="Y29">
            <v>0.1875</v>
          </cell>
          <cell r="Z29" t="str">
            <v>정상</v>
          </cell>
          <cell r="AA29">
            <v>0.5</v>
          </cell>
          <cell r="AB29">
            <v>0.5</v>
          </cell>
          <cell r="AC29">
            <v>0.4</v>
          </cell>
          <cell r="AD29">
            <v>0.6</v>
          </cell>
          <cell r="AE29">
            <v>119</v>
          </cell>
          <cell r="AF29">
            <v>7</v>
          </cell>
          <cell r="AG29">
            <v>0.33333333333333331</v>
          </cell>
          <cell r="AH29">
            <v>0.5</v>
          </cell>
        </row>
        <row r="64">
          <cell r="B64" t="str">
            <v>프로젝트 개수</v>
          </cell>
          <cell r="C64">
            <v>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제정 및 개정이력"/>
      <sheetName val="표지"/>
      <sheetName val="==&gt;"/>
      <sheetName val="리스크 체크리스트(영업 공통)"/>
      <sheetName val="리스크 체크리스트(솔루션)"/>
      <sheetName val="리스크 체크리스트(컨설팅)"/>
      <sheetName val="리스크 체크리스트(건설IT공사업)"/>
      <sheetName val="리스크 체크리스트(건설 공사업)"/>
      <sheetName val="참고.프로젝트 유형-가중치(수정금지)"/>
    </sheetNames>
    <sheetDataSet>
      <sheetData sheetId="0" refreshError="1"/>
      <sheetData sheetId="1">
        <row r="11">
          <cell r="F11" t="str">
            <v>SI용역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4">
          <cell r="D4" t="str">
            <v>SI용역</v>
          </cell>
          <cell r="E4">
            <v>1</v>
          </cell>
          <cell r="F4">
            <v>1</v>
          </cell>
          <cell r="G4">
            <v>1</v>
          </cell>
          <cell r="H4">
            <v>1.5</v>
          </cell>
          <cell r="I4">
            <v>1.5</v>
          </cell>
          <cell r="J4">
            <v>1</v>
          </cell>
          <cell r="K4">
            <v>0.5</v>
          </cell>
          <cell r="L4">
            <v>0.5</v>
          </cell>
          <cell r="M4">
            <v>0.5</v>
          </cell>
          <cell r="N4">
            <v>1.5</v>
          </cell>
          <cell r="O4">
            <v>0.5</v>
          </cell>
          <cell r="P4">
            <v>1</v>
          </cell>
          <cell r="Q4">
            <v>1</v>
          </cell>
          <cell r="R4">
            <v>1</v>
          </cell>
          <cell r="S4">
            <v>1.5</v>
          </cell>
          <cell r="T4">
            <v>1.5</v>
          </cell>
          <cell r="U4">
            <v>1.5</v>
          </cell>
          <cell r="V4">
            <v>0.5</v>
          </cell>
          <cell r="W4">
            <v>1</v>
          </cell>
          <cell r="X4">
            <v>1</v>
          </cell>
        </row>
        <row r="5">
          <cell r="D5" t="str">
            <v>컨설팅;비개발</v>
          </cell>
          <cell r="E5">
            <v>0.5</v>
          </cell>
          <cell r="F5" t="str">
            <v>제외</v>
          </cell>
          <cell r="G5" t="str">
            <v>제외</v>
          </cell>
          <cell r="H5">
            <v>0.5</v>
          </cell>
          <cell r="I5">
            <v>0.5</v>
          </cell>
          <cell r="J5" t="str">
            <v>제외</v>
          </cell>
          <cell r="K5">
            <v>0.5</v>
          </cell>
          <cell r="L5">
            <v>0.5</v>
          </cell>
          <cell r="M5">
            <v>0.5</v>
          </cell>
          <cell r="N5">
            <v>1</v>
          </cell>
          <cell r="O5">
            <v>0.5</v>
          </cell>
          <cell r="P5">
            <v>1</v>
          </cell>
          <cell r="Q5">
            <v>1.5</v>
          </cell>
          <cell r="R5">
            <v>1.5</v>
          </cell>
          <cell r="S5">
            <v>1.5</v>
          </cell>
          <cell r="T5" t="str">
            <v>제외</v>
          </cell>
          <cell r="U5">
            <v>1.5</v>
          </cell>
          <cell r="V5" t="str">
            <v>제외</v>
          </cell>
          <cell r="W5">
            <v>1</v>
          </cell>
          <cell r="X5">
            <v>1</v>
          </cell>
        </row>
        <row r="6">
          <cell r="D6" t="str">
            <v>솔루션/패키지</v>
          </cell>
          <cell r="E6">
            <v>0.5</v>
          </cell>
          <cell r="F6">
            <v>0.5</v>
          </cell>
          <cell r="G6">
            <v>0.5</v>
          </cell>
          <cell r="H6">
            <v>0.5</v>
          </cell>
          <cell r="I6">
            <v>0.5</v>
          </cell>
          <cell r="J6">
            <v>1</v>
          </cell>
          <cell r="K6">
            <v>0.5</v>
          </cell>
          <cell r="L6">
            <v>0.5</v>
          </cell>
          <cell r="M6">
            <v>0.5</v>
          </cell>
          <cell r="N6">
            <v>1</v>
          </cell>
          <cell r="O6">
            <v>0.5</v>
          </cell>
          <cell r="P6">
            <v>1</v>
          </cell>
          <cell r="Q6">
            <v>1.5</v>
          </cell>
          <cell r="R6">
            <v>1.5</v>
          </cell>
          <cell r="S6">
            <v>1.5</v>
          </cell>
          <cell r="T6">
            <v>1.5</v>
          </cell>
          <cell r="U6">
            <v>1.5</v>
          </cell>
          <cell r="V6">
            <v>0.5</v>
          </cell>
          <cell r="W6">
            <v>1</v>
          </cell>
          <cell r="X6">
            <v>0.5</v>
          </cell>
        </row>
        <row r="9">
          <cell r="C9" t="str">
            <v>SI용역</v>
          </cell>
        </row>
        <row r="10">
          <cell r="C10" t="str">
            <v>컨설팅;비개발</v>
          </cell>
        </row>
        <row r="11">
          <cell r="C11" t="str">
            <v>솔루션/패키지</v>
          </cell>
        </row>
        <row r="12">
          <cell r="C12" t="str">
            <v>건설IT공사업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zoomScale="70" zoomScaleNormal="70" workbookViewId="0">
      <selection activeCell="I24" sqref="I24"/>
    </sheetView>
  </sheetViews>
  <sheetFormatPr defaultColWidth="9" defaultRowHeight="13.2" x14ac:dyDescent="0.4"/>
  <cols>
    <col min="1" max="1" width="1.8984375" style="5" customWidth="1"/>
    <col min="2" max="13" width="12.3984375" style="5" customWidth="1"/>
    <col min="14" max="14" width="1.8984375" style="5" customWidth="1"/>
    <col min="15" max="16384" width="9" style="5"/>
  </cols>
  <sheetData>
    <row r="1" spans="1:14" ht="13.8" thickBot="1" x14ac:dyDescent="0.4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3"/>
      <c r="N1" s="4"/>
    </row>
    <row r="2" spans="1:14" ht="19.8" thickTop="1" x14ac:dyDescent="0.4">
      <c r="A2" s="1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8"/>
      <c r="N2" s="4"/>
    </row>
    <row r="3" spans="1:14" x14ac:dyDescent="0.4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1"/>
      <c r="N3" s="4"/>
    </row>
    <row r="4" spans="1:14" ht="16.2" x14ac:dyDescent="0.4">
      <c r="A4" s="12"/>
      <c r="B4" s="111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3"/>
      <c r="N4" s="4"/>
    </row>
    <row r="5" spans="1:14" ht="16.2" x14ac:dyDescent="0.4">
      <c r="A5" s="4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5"/>
      <c r="N5" s="4"/>
    </row>
    <row r="6" spans="1:14" x14ac:dyDescent="0.2">
      <c r="A6" s="4"/>
      <c r="B6" s="9"/>
      <c r="C6" s="16"/>
      <c r="D6" s="10"/>
      <c r="E6" s="10"/>
      <c r="F6" s="10"/>
      <c r="G6" s="10"/>
      <c r="H6" s="10"/>
      <c r="I6" s="10"/>
      <c r="J6" s="10"/>
      <c r="K6" s="10"/>
      <c r="L6" s="10"/>
      <c r="M6" s="11"/>
      <c r="N6" s="4"/>
    </row>
    <row r="7" spans="1:14" ht="139.94999999999999" customHeight="1" x14ac:dyDescent="0.4">
      <c r="A7" s="4"/>
      <c r="B7" s="114" t="s">
        <v>194</v>
      </c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6"/>
      <c r="N7" s="4"/>
    </row>
    <row r="8" spans="1:14" ht="13.2" customHeight="1" x14ac:dyDescent="0.4">
      <c r="A8" s="4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7" t="s">
        <v>142</v>
      </c>
      <c r="N8" s="4"/>
    </row>
    <row r="9" spans="1:14" x14ac:dyDescent="0.4">
      <c r="A9" s="4"/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  <c r="N9" s="4"/>
    </row>
    <row r="10" spans="1:14" ht="25.5" customHeight="1" x14ac:dyDescent="0.4">
      <c r="A10" s="4"/>
      <c r="B10" s="9"/>
      <c r="C10" s="10"/>
      <c r="D10" s="10"/>
      <c r="E10" s="10"/>
      <c r="F10" s="10"/>
      <c r="G10" s="10"/>
      <c r="H10" s="21"/>
      <c r="I10" s="10"/>
      <c r="J10" s="10"/>
      <c r="K10" s="10"/>
      <c r="L10" s="10"/>
      <c r="M10" s="11"/>
      <c r="N10" s="4"/>
    </row>
    <row r="11" spans="1:14" ht="25.5" customHeight="1" x14ac:dyDescent="0.4">
      <c r="A11" s="4"/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  <c r="N11" s="4"/>
    </row>
    <row r="12" spans="1:14" ht="25.5" customHeight="1" x14ac:dyDescent="0.3">
      <c r="A12" s="4"/>
      <c r="B12" s="22"/>
      <c r="C12" s="23"/>
      <c r="D12" s="23"/>
      <c r="E12" s="23"/>
      <c r="F12" s="23"/>
      <c r="G12" s="23"/>
      <c r="H12" s="23"/>
      <c r="I12" s="23"/>
      <c r="J12" s="10"/>
      <c r="K12" s="10"/>
      <c r="L12" s="10"/>
      <c r="M12" s="11"/>
      <c r="N12" s="4"/>
    </row>
    <row r="13" spans="1:14" ht="25.5" customHeight="1" x14ac:dyDescent="0.3">
      <c r="A13" s="4"/>
      <c r="B13" s="22"/>
      <c r="C13" s="23"/>
      <c r="D13" s="23"/>
      <c r="E13" s="23"/>
      <c r="F13" s="23"/>
      <c r="G13" s="23"/>
      <c r="H13" s="23"/>
      <c r="I13" s="23"/>
      <c r="J13" s="10"/>
      <c r="K13" s="10"/>
      <c r="L13" s="10"/>
      <c r="M13" s="11"/>
      <c r="N13" s="4"/>
    </row>
    <row r="14" spans="1:14" ht="25.5" customHeight="1" x14ac:dyDescent="0.3">
      <c r="A14" s="4"/>
      <c r="B14" s="22"/>
      <c r="C14" s="23"/>
      <c r="D14" s="23"/>
      <c r="E14" s="23"/>
      <c r="F14" s="23"/>
      <c r="G14" s="23"/>
      <c r="H14" s="23"/>
      <c r="I14" s="23"/>
      <c r="J14" s="10"/>
      <c r="K14" s="10"/>
      <c r="L14" s="10"/>
      <c r="M14" s="11"/>
      <c r="N14" s="4"/>
    </row>
    <row r="15" spans="1:14" ht="25.5" customHeight="1" x14ac:dyDescent="0.2">
      <c r="A15" s="4"/>
      <c r="B15" s="9"/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11"/>
      <c r="N15" s="4"/>
    </row>
    <row r="16" spans="1:14" ht="25.5" customHeight="1" x14ac:dyDescent="0.2">
      <c r="A16" s="4"/>
      <c r="B16" s="9"/>
      <c r="C16" s="16"/>
      <c r="D16" s="10"/>
      <c r="E16" s="10"/>
      <c r="F16" s="10"/>
      <c r="G16" s="10"/>
      <c r="H16" s="10"/>
      <c r="I16" s="10"/>
      <c r="J16" s="10"/>
      <c r="K16" s="10"/>
      <c r="M16" s="11"/>
      <c r="N16" s="4"/>
    </row>
    <row r="17" spans="1:14" ht="25.5" customHeight="1" x14ac:dyDescent="0.2">
      <c r="A17" s="4"/>
      <c r="B17" s="9"/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11"/>
      <c r="N17" s="4"/>
    </row>
    <row r="18" spans="1:14" ht="77.400000000000006" customHeight="1" x14ac:dyDescent="0.4">
      <c r="A18" s="4"/>
      <c r="B18" s="9"/>
      <c r="C18" s="117" t="s">
        <v>328</v>
      </c>
      <c r="D18" s="118"/>
      <c r="E18" s="118"/>
      <c r="F18" s="118"/>
      <c r="G18" s="118"/>
      <c r="H18" s="118"/>
      <c r="I18" s="118"/>
      <c r="J18" s="118"/>
      <c r="K18" s="118"/>
      <c r="L18" s="119"/>
      <c r="M18" s="11"/>
      <c r="N18" s="4"/>
    </row>
    <row r="19" spans="1:14" ht="25.5" customHeight="1" x14ac:dyDescent="0.2">
      <c r="A19" s="4"/>
      <c r="B19" s="9"/>
      <c r="C19" s="16"/>
      <c r="D19" s="10"/>
      <c r="E19" s="10"/>
      <c r="F19" s="10"/>
      <c r="G19" s="120" t="s">
        <v>327</v>
      </c>
      <c r="H19" s="121"/>
      <c r="I19" s="10"/>
      <c r="J19" s="10"/>
      <c r="K19" s="10"/>
      <c r="L19" s="10"/>
      <c r="M19" s="11"/>
      <c r="N19" s="4"/>
    </row>
    <row r="20" spans="1:14" ht="25.5" customHeight="1" thickBot="1" x14ac:dyDescent="0.45">
      <c r="A20" s="24"/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7"/>
      <c r="N20" s="4"/>
    </row>
    <row r="21" spans="1:14" ht="13.8" thickTop="1" x14ac:dyDescent="0.4"/>
  </sheetData>
  <mergeCells count="4">
    <mergeCell ref="B4:M4"/>
    <mergeCell ref="B7:M7"/>
    <mergeCell ref="C18:L18"/>
    <mergeCell ref="G19:H19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14"/>
  <sheetViews>
    <sheetView workbookViewId="0">
      <pane ySplit="4" topLeftCell="A5" activePane="bottomLeft" state="frozen"/>
      <selection activeCell="P12" sqref="P12"/>
      <selection pane="bottomLeft" activeCell="E8" sqref="E8"/>
    </sheetView>
  </sheetViews>
  <sheetFormatPr defaultColWidth="8.69921875" defaultRowHeight="13.2" x14ac:dyDescent="0.4"/>
  <cols>
    <col min="1" max="1" width="2.69921875" style="28" customWidth="1"/>
    <col min="2" max="2" width="4.3984375" style="28" customWidth="1"/>
    <col min="3" max="3" width="5" style="28" customWidth="1"/>
    <col min="4" max="4" width="11.19921875" style="28" customWidth="1"/>
    <col min="5" max="5" width="60.5" style="28" customWidth="1"/>
    <col min="6" max="7" width="22.19921875" style="37" customWidth="1"/>
    <col min="8" max="8" width="19" style="28" customWidth="1"/>
    <col min="9" max="16384" width="8.69921875" style="28"/>
  </cols>
  <sheetData>
    <row r="2" spans="2:8" ht="37.200000000000003" customHeight="1" x14ac:dyDescent="0.4">
      <c r="B2" s="122" t="s">
        <v>0</v>
      </c>
      <c r="C2" s="122"/>
      <c r="D2" s="122"/>
      <c r="E2" s="122"/>
      <c r="F2" s="122"/>
      <c r="G2" s="122"/>
      <c r="H2" s="122"/>
    </row>
    <row r="4" spans="2:8" ht="21.6" customHeight="1" x14ac:dyDescent="0.4">
      <c r="B4" s="29" t="s">
        <v>1</v>
      </c>
      <c r="C4" s="29" t="s">
        <v>2</v>
      </c>
      <c r="D4" s="29" t="s">
        <v>3</v>
      </c>
      <c r="E4" s="29" t="s">
        <v>4</v>
      </c>
      <c r="F4" s="29" t="s">
        <v>5</v>
      </c>
      <c r="G4" s="29" t="s">
        <v>6</v>
      </c>
      <c r="H4" s="29" t="s">
        <v>7</v>
      </c>
    </row>
    <row r="5" spans="2:8" ht="34.200000000000003" customHeight="1" x14ac:dyDescent="0.4">
      <c r="B5" s="30">
        <v>1</v>
      </c>
      <c r="C5" s="31">
        <v>1</v>
      </c>
      <c r="D5" s="32" t="s">
        <v>8</v>
      </c>
      <c r="E5" s="33" t="s">
        <v>9</v>
      </c>
      <c r="F5" s="34" t="s">
        <v>10</v>
      </c>
      <c r="G5" s="34" t="s">
        <v>11</v>
      </c>
      <c r="H5" s="34"/>
    </row>
    <row r="6" spans="2:8" ht="56.4" customHeight="1" x14ac:dyDescent="0.4">
      <c r="B6" s="30">
        <v>2</v>
      </c>
      <c r="C6" s="31">
        <v>1.1000000000000001</v>
      </c>
      <c r="D6" s="32" t="s">
        <v>12</v>
      </c>
      <c r="E6" s="35" t="s">
        <v>13</v>
      </c>
      <c r="F6" s="34" t="s">
        <v>10</v>
      </c>
      <c r="G6" s="34" t="s">
        <v>11</v>
      </c>
      <c r="H6" s="34"/>
    </row>
    <row r="7" spans="2:8" ht="56.4" customHeight="1" x14ac:dyDescent="0.4">
      <c r="B7" s="30">
        <v>3</v>
      </c>
      <c r="C7" s="31">
        <v>1.2</v>
      </c>
      <c r="D7" s="32" t="s">
        <v>14</v>
      </c>
      <c r="E7" s="35" t="s">
        <v>15</v>
      </c>
      <c r="F7" s="34" t="s">
        <v>10</v>
      </c>
      <c r="G7" s="34" t="s">
        <v>11</v>
      </c>
      <c r="H7" s="34"/>
    </row>
    <row r="8" spans="2:8" ht="73.2" customHeight="1" x14ac:dyDescent="0.4">
      <c r="B8" s="30">
        <v>4</v>
      </c>
      <c r="C8" s="31">
        <v>2</v>
      </c>
      <c r="D8" s="32" t="s">
        <v>16</v>
      </c>
      <c r="E8" s="35" t="s">
        <v>17</v>
      </c>
      <c r="F8" s="34" t="s">
        <v>18</v>
      </c>
      <c r="G8" s="34" t="s">
        <v>19</v>
      </c>
      <c r="H8" s="34"/>
    </row>
    <row r="9" spans="2:8" ht="107.25" customHeight="1" x14ac:dyDescent="0.4">
      <c r="B9" s="30">
        <v>5</v>
      </c>
      <c r="C9" s="31">
        <v>3</v>
      </c>
      <c r="D9" s="32" t="s">
        <v>327</v>
      </c>
      <c r="E9" s="71" t="s">
        <v>368</v>
      </c>
      <c r="F9" s="34" t="s">
        <v>195</v>
      </c>
      <c r="G9" s="34" t="s">
        <v>196</v>
      </c>
      <c r="H9" s="34"/>
    </row>
    <row r="10" spans="2:8" x14ac:dyDescent="0.4">
      <c r="B10" s="30">
        <v>6</v>
      </c>
      <c r="C10" s="31"/>
      <c r="D10" s="34"/>
      <c r="E10" s="36"/>
      <c r="F10" s="36"/>
      <c r="G10" s="34"/>
      <c r="H10" s="34"/>
    </row>
    <row r="11" spans="2:8" x14ac:dyDescent="0.4">
      <c r="B11" s="30">
        <v>7</v>
      </c>
      <c r="C11" s="31"/>
      <c r="D11" s="34"/>
      <c r="E11" s="36"/>
      <c r="F11" s="36"/>
      <c r="G11" s="34"/>
      <c r="H11" s="34"/>
    </row>
    <row r="12" spans="2:8" x14ac:dyDescent="0.4">
      <c r="B12" s="30">
        <v>8</v>
      </c>
      <c r="C12" s="31"/>
      <c r="D12" s="34"/>
      <c r="E12" s="36"/>
      <c r="F12" s="36"/>
      <c r="G12" s="34"/>
      <c r="H12" s="34"/>
    </row>
    <row r="13" spans="2:8" x14ac:dyDescent="0.4">
      <c r="B13" s="30">
        <v>9</v>
      </c>
      <c r="C13" s="31"/>
      <c r="D13" s="34"/>
      <c r="E13" s="36"/>
      <c r="F13" s="36"/>
      <c r="G13" s="34"/>
      <c r="H13" s="34"/>
    </row>
    <row r="14" spans="2:8" x14ac:dyDescent="0.4">
      <c r="B14" s="30">
        <v>10</v>
      </c>
      <c r="C14" s="31"/>
      <c r="D14" s="34"/>
      <c r="E14" s="36"/>
      <c r="F14" s="36"/>
      <c r="G14" s="34"/>
      <c r="H14" s="34"/>
    </row>
  </sheetData>
  <mergeCells count="1">
    <mergeCell ref="B2:H2"/>
  </mergeCells>
  <phoneticPr fontId="3" type="noConversion"/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243AA-B4D6-48B6-9C94-A583FAFB05E3}">
  <dimension ref="A1"/>
  <sheetViews>
    <sheetView workbookViewId="0">
      <selection activeCell="J27" sqref="J27"/>
    </sheetView>
  </sheetViews>
  <sheetFormatPr defaultRowHeight="17.399999999999999" x14ac:dyDescent="0.4"/>
  <sheetData/>
  <phoneticPr fontId="3" type="noConversion"/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68B0-97C6-421E-95B8-CFA828D98F77}">
  <sheetPr codeName="Sheet3">
    <tabColor rgb="FFFF0000"/>
  </sheetPr>
  <dimension ref="B1:K39"/>
  <sheetViews>
    <sheetView zoomScaleNormal="100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activeCell="C24" sqref="C24:G24"/>
    </sheetView>
  </sheetViews>
  <sheetFormatPr defaultColWidth="9" defaultRowHeight="17.399999999999999" x14ac:dyDescent="0.4"/>
  <cols>
    <col min="1" max="1" width="2.5" customWidth="1"/>
    <col min="2" max="2" width="16.3984375" customWidth="1"/>
    <col min="3" max="7" width="13.69921875" customWidth="1"/>
    <col min="8" max="8" width="3.19921875" customWidth="1"/>
    <col min="9" max="9" width="11.3984375" customWidth="1"/>
    <col min="10" max="10" width="3.19921875" customWidth="1"/>
    <col min="11" max="11" width="11.3984375" customWidth="1"/>
    <col min="12" max="12" width="11.59765625" customWidth="1"/>
  </cols>
  <sheetData>
    <row r="1" spans="2:11" ht="18" thickBot="1" x14ac:dyDescent="0.45"/>
    <row r="2" spans="2:11" ht="30" customHeight="1" thickBot="1" x14ac:dyDescent="0.45">
      <c r="B2" s="137" t="s">
        <v>193</v>
      </c>
      <c r="C2" s="138"/>
      <c r="D2" s="138"/>
      <c r="E2" s="138"/>
      <c r="F2" s="138"/>
      <c r="G2" s="139"/>
      <c r="H2" s="140"/>
      <c r="I2" s="140"/>
      <c r="J2" s="140"/>
      <c r="K2" s="141"/>
    </row>
    <row r="3" spans="2:11" ht="21" x14ac:dyDescent="0.4">
      <c r="B3" s="95"/>
      <c r="C3" s="95"/>
      <c r="D3" s="95"/>
      <c r="E3" s="95"/>
      <c r="F3" s="95"/>
      <c r="G3" s="96"/>
    </row>
    <row r="4" spans="2:11" ht="21.6" thickBot="1" x14ac:dyDescent="0.45">
      <c r="B4" s="97" t="s">
        <v>342</v>
      </c>
      <c r="C4" s="95"/>
      <c r="D4" s="95"/>
      <c r="E4" s="95"/>
      <c r="F4" s="95"/>
      <c r="G4" s="96"/>
    </row>
    <row r="5" spans="2:11" x14ac:dyDescent="0.4">
      <c r="B5" s="93" t="s">
        <v>343</v>
      </c>
      <c r="C5" s="142" t="s">
        <v>392</v>
      </c>
      <c r="D5" s="143"/>
      <c r="E5" s="143"/>
      <c r="F5" s="143"/>
      <c r="G5" s="143"/>
      <c r="H5" s="144"/>
      <c r="I5" s="144"/>
      <c r="J5" s="144"/>
      <c r="K5" s="145"/>
    </row>
    <row r="6" spans="2:11" x14ac:dyDescent="0.4">
      <c r="B6" s="93" t="s">
        <v>344</v>
      </c>
      <c r="C6" s="146">
        <v>23</v>
      </c>
      <c r="D6" s="147"/>
      <c r="E6" s="147"/>
      <c r="F6" s="147"/>
      <c r="G6" s="147"/>
      <c r="H6" s="148"/>
      <c r="I6" s="148"/>
      <c r="J6" s="148"/>
      <c r="K6" s="149"/>
    </row>
    <row r="7" spans="2:11" x14ac:dyDescent="0.4">
      <c r="B7" s="93" t="s">
        <v>345</v>
      </c>
      <c r="C7" s="146" t="s">
        <v>379</v>
      </c>
      <c r="D7" s="147"/>
      <c r="E7" s="147"/>
      <c r="F7" s="147"/>
      <c r="G7" s="147"/>
      <c r="H7" s="148"/>
      <c r="I7" s="148"/>
      <c r="J7" s="148"/>
      <c r="K7" s="149"/>
    </row>
    <row r="8" spans="2:11" x14ac:dyDescent="0.4">
      <c r="B8" s="93" t="s">
        <v>346</v>
      </c>
      <c r="C8" s="146" t="s">
        <v>380</v>
      </c>
      <c r="D8" s="147"/>
      <c r="E8" s="147"/>
      <c r="F8" s="147"/>
      <c r="G8" s="147"/>
      <c r="H8" s="148"/>
      <c r="I8" s="148"/>
      <c r="J8" s="148"/>
      <c r="K8" s="149"/>
    </row>
    <row r="9" spans="2:11" ht="18" thickBot="1" x14ac:dyDescent="0.45">
      <c r="B9" s="93" t="s">
        <v>347</v>
      </c>
      <c r="C9" s="132" t="s">
        <v>381</v>
      </c>
      <c r="D9" s="133"/>
      <c r="E9" s="133"/>
      <c r="F9" s="133"/>
      <c r="G9" s="133"/>
      <c r="H9" s="134"/>
      <c r="I9" s="134"/>
      <c r="J9" s="134"/>
      <c r="K9" s="135"/>
    </row>
    <row r="10" spans="2:11" ht="9.75" customHeight="1" x14ac:dyDescent="0.4"/>
    <row r="11" spans="2:11" x14ac:dyDescent="0.4">
      <c r="B11" s="84" t="s">
        <v>335</v>
      </c>
      <c r="C11" s="85"/>
      <c r="D11" s="28"/>
      <c r="E11" s="130" t="s">
        <v>386</v>
      </c>
      <c r="F11" s="130"/>
      <c r="G11" s="130"/>
    </row>
    <row r="12" spans="2:11" ht="15.9" customHeight="1" x14ac:dyDescent="0.4">
      <c r="B12" s="128" t="s">
        <v>303</v>
      </c>
      <c r="C12" s="86" t="s">
        <v>304</v>
      </c>
      <c r="D12" s="87" t="s">
        <v>291</v>
      </c>
      <c r="E12" s="87" t="s">
        <v>292</v>
      </c>
      <c r="F12" s="87" t="s">
        <v>293</v>
      </c>
      <c r="G12" s="87" t="s">
        <v>94</v>
      </c>
      <c r="I12" s="126" t="s">
        <v>369</v>
      </c>
    </row>
    <row r="13" spans="2:11" ht="15.9" customHeight="1" thickBot="1" x14ac:dyDescent="0.45">
      <c r="B13" s="129"/>
      <c r="C13" s="91">
        <f>COUNTA('2.1품질점검_착수'!K6:K18)</f>
        <v>13</v>
      </c>
      <c r="D13" s="92">
        <f>COUNTIF('2.1품질점검_착수'!M6:M18,"=BP 공유수준")</f>
        <v>1</v>
      </c>
      <c r="E13" s="92">
        <f>COUNTIF('2.1품질점검_착수'!M6:M18,"=문제없음")</f>
        <v>12</v>
      </c>
      <c r="F13" s="92">
        <f>COUNTIF('2.1품질점검_착수'!M6:M18,"=개선필요")</f>
        <v>0</v>
      </c>
      <c r="G13" s="92">
        <f>COUNTIF('2.1품질점검_착수'!M6:M18,"=N/A")</f>
        <v>0</v>
      </c>
      <c r="I13" s="131"/>
    </row>
    <row r="14" spans="2:11" ht="79.5" customHeight="1" thickBot="1" x14ac:dyDescent="0.45">
      <c r="B14" s="93" t="s">
        <v>302</v>
      </c>
      <c r="C14" s="136" t="s">
        <v>403</v>
      </c>
      <c r="D14" s="124"/>
      <c r="E14" s="124"/>
      <c r="F14" s="124"/>
      <c r="G14" s="125"/>
      <c r="I14" s="103" t="s">
        <v>385</v>
      </c>
    </row>
    <row r="15" spans="2:11" ht="5.25" customHeight="1" x14ac:dyDescent="0.4"/>
    <row r="16" spans="2:11" x14ac:dyDescent="0.4">
      <c r="B16" s="84" t="s">
        <v>336</v>
      </c>
      <c r="C16" s="85"/>
      <c r="D16" s="28"/>
      <c r="E16" s="130" t="s">
        <v>387</v>
      </c>
      <c r="F16" s="130"/>
      <c r="G16" s="130"/>
    </row>
    <row r="17" spans="2:11" ht="16.5" customHeight="1" x14ac:dyDescent="0.4">
      <c r="B17" s="128" t="s">
        <v>303</v>
      </c>
      <c r="C17" s="86" t="s">
        <v>304</v>
      </c>
      <c r="D17" s="87" t="s">
        <v>291</v>
      </c>
      <c r="E17" s="87" t="s">
        <v>292</v>
      </c>
      <c r="F17" s="87" t="s">
        <v>293</v>
      </c>
      <c r="G17" s="87" t="s">
        <v>94</v>
      </c>
      <c r="I17" s="126" t="s">
        <v>369</v>
      </c>
    </row>
    <row r="18" spans="2:11" ht="18" thickBot="1" x14ac:dyDescent="0.45">
      <c r="B18" s="129"/>
      <c r="C18" s="91">
        <f>COUNTA('2.2품질점검_분석'!K6:K20)</f>
        <v>15</v>
      </c>
      <c r="D18" s="92">
        <f>COUNTIF('2.2품질점검_분석'!M6:M20,"=BP 공유수준")</f>
        <v>1</v>
      </c>
      <c r="E18" s="92">
        <f>COUNTIF('2.2품질점검_분석'!M6:M20,"=문제없음")</f>
        <v>14</v>
      </c>
      <c r="F18" s="92">
        <f>COUNTIF('2.2품질점검_분석'!M6:M20,"=개선필요")</f>
        <v>0</v>
      </c>
      <c r="G18" s="92">
        <f>COUNTIF('2.2품질점검_분석'!M6:M20,"=N/A")</f>
        <v>0</v>
      </c>
      <c r="I18" s="131"/>
    </row>
    <row r="19" spans="2:11" ht="71.25" customHeight="1" thickBot="1" x14ac:dyDescent="0.45">
      <c r="B19" s="93" t="s">
        <v>302</v>
      </c>
      <c r="C19" s="136" t="s">
        <v>404</v>
      </c>
      <c r="D19" s="124"/>
      <c r="E19" s="124"/>
      <c r="F19" s="124"/>
      <c r="G19" s="125"/>
      <c r="I19" s="103" t="s">
        <v>385</v>
      </c>
    </row>
    <row r="20" spans="2:11" ht="4.5" customHeight="1" x14ac:dyDescent="0.4"/>
    <row r="21" spans="2:11" x14ac:dyDescent="0.4">
      <c r="B21" s="84" t="s">
        <v>337</v>
      </c>
      <c r="C21" s="85"/>
      <c r="D21" s="28"/>
      <c r="E21" s="130" t="s">
        <v>388</v>
      </c>
      <c r="F21" s="130"/>
      <c r="G21" s="130"/>
    </row>
    <row r="22" spans="2:11" ht="16.5" customHeight="1" x14ac:dyDescent="0.4">
      <c r="B22" s="128" t="s">
        <v>303</v>
      </c>
      <c r="C22" s="86" t="s">
        <v>304</v>
      </c>
      <c r="D22" s="87" t="s">
        <v>291</v>
      </c>
      <c r="E22" s="87" t="s">
        <v>292</v>
      </c>
      <c r="F22" s="87" t="s">
        <v>293</v>
      </c>
      <c r="G22" s="87" t="s">
        <v>94</v>
      </c>
      <c r="I22" s="126" t="s">
        <v>369</v>
      </c>
      <c r="K22" s="126" t="s">
        <v>365</v>
      </c>
    </row>
    <row r="23" spans="2:11" ht="18" thickBot="1" x14ac:dyDescent="0.45">
      <c r="B23" s="129"/>
      <c r="C23" s="91">
        <f>COUNTA('2.3품질점검_설계'!K6:K24)</f>
        <v>19</v>
      </c>
      <c r="D23" s="92">
        <f>COUNTIF('2.3품질점검_설계'!M6:M24,"=BP 공유수준")</f>
        <v>1</v>
      </c>
      <c r="E23" s="92">
        <f>COUNTIF('2.3품질점검_설계'!M6:M24,"=문제없음")</f>
        <v>11</v>
      </c>
      <c r="F23" s="92">
        <f>COUNTIF('2.3품질점검_설계'!M6:M24,"=개선필요")</f>
        <v>0</v>
      </c>
      <c r="G23" s="92">
        <f>COUNTIF('2.3품질점검_설계'!M6:M24,"=N/A")</f>
        <v>0</v>
      </c>
      <c r="I23" s="131"/>
      <c r="K23" s="127"/>
    </row>
    <row r="24" spans="2:11" ht="94.5" customHeight="1" thickBot="1" x14ac:dyDescent="0.45">
      <c r="B24" s="93" t="s">
        <v>302</v>
      </c>
      <c r="C24" s="123"/>
      <c r="D24" s="124"/>
      <c r="E24" s="124"/>
      <c r="F24" s="124"/>
      <c r="G24" s="125"/>
      <c r="I24" s="104"/>
      <c r="K24" s="105"/>
    </row>
    <row r="25" spans="2:11" ht="6" customHeight="1" x14ac:dyDescent="0.4"/>
    <row r="26" spans="2:11" x14ac:dyDescent="0.4">
      <c r="B26" s="84" t="s">
        <v>338</v>
      </c>
      <c r="C26" s="85"/>
      <c r="D26" s="28"/>
      <c r="E26" s="130" t="s">
        <v>389</v>
      </c>
      <c r="F26" s="130"/>
      <c r="G26" s="130"/>
    </row>
    <row r="27" spans="2:11" ht="16.5" customHeight="1" x14ac:dyDescent="0.4">
      <c r="B27" s="128" t="s">
        <v>303</v>
      </c>
      <c r="C27" s="86" t="s">
        <v>304</v>
      </c>
      <c r="D27" s="87" t="s">
        <v>291</v>
      </c>
      <c r="E27" s="87" t="s">
        <v>292</v>
      </c>
      <c r="F27" s="87" t="s">
        <v>293</v>
      </c>
      <c r="G27" s="87" t="s">
        <v>94</v>
      </c>
      <c r="I27" s="126" t="s">
        <v>369</v>
      </c>
      <c r="K27" s="126" t="s">
        <v>365</v>
      </c>
    </row>
    <row r="28" spans="2:11" ht="18" thickBot="1" x14ac:dyDescent="0.45">
      <c r="B28" s="129"/>
      <c r="C28" s="91">
        <f>COUNTA('2.4품질점검_개발'!K6:K22)</f>
        <v>17</v>
      </c>
      <c r="D28" s="92">
        <f>COUNTIF('2.4품질점검_개발'!M6:M22,"=BP 공유수준")</f>
        <v>0</v>
      </c>
      <c r="E28" s="92">
        <f>COUNTIF('2.4품질점검_개발'!M6:M22,"=문제없음")</f>
        <v>0</v>
      </c>
      <c r="F28" s="92">
        <f>COUNTIF('2.4품질점검_개발'!M6:M22,"=개선필요")</f>
        <v>0</v>
      </c>
      <c r="G28" s="92">
        <f>COUNTIF('2.4품질점검_개발'!M6:M22,"=N/A")</f>
        <v>0</v>
      </c>
      <c r="I28" s="131"/>
      <c r="K28" s="127"/>
    </row>
    <row r="29" spans="2:11" ht="77.25" customHeight="1" thickBot="1" x14ac:dyDescent="0.45">
      <c r="B29" s="93" t="s">
        <v>302</v>
      </c>
      <c r="C29" s="123"/>
      <c r="D29" s="124"/>
      <c r="E29" s="124"/>
      <c r="F29" s="124"/>
      <c r="G29" s="125"/>
      <c r="I29" s="104"/>
      <c r="K29" s="105"/>
    </row>
    <row r="30" spans="2:11" ht="5.25" customHeight="1" x14ac:dyDescent="0.4"/>
    <row r="31" spans="2:11" x14ac:dyDescent="0.4">
      <c r="B31" s="84" t="s">
        <v>339</v>
      </c>
      <c r="C31" s="85"/>
      <c r="D31" s="28"/>
      <c r="E31" s="130" t="s">
        <v>390</v>
      </c>
      <c r="F31" s="130"/>
      <c r="G31" s="130"/>
    </row>
    <row r="32" spans="2:11" ht="16.5" customHeight="1" x14ac:dyDescent="0.4">
      <c r="B32" s="128" t="s">
        <v>303</v>
      </c>
      <c r="C32" s="86" t="s">
        <v>304</v>
      </c>
      <c r="D32" s="87" t="s">
        <v>291</v>
      </c>
      <c r="E32" s="87" t="s">
        <v>292</v>
      </c>
      <c r="F32" s="87" t="s">
        <v>293</v>
      </c>
      <c r="G32" s="87" t="s">
        <v>94</v>
      </c>
      <c r="I32" s="126" t="s">
        <v>369</v>
      </c>
    </row>
    <row r="33" spans="2:11" ht="18" thickBot="1" x14ac:dyDescent="0.45">
      <c r="B33" s="129"/>
      <c r="C33" s="91">
        <f>COUNTA('2.5품질점검_테스트'!K6:K21)</f>
        <v>16</v>
      </c>
      <c r="D33" s="92">
        <f>COUNTIF('2.5품질점검_테스트'!M6:M21,"=BP 공유수준")</f>
        <v>0</v>
      </c>
      <c r="E33" s="92">
        <f>COUNTIF('2.5품질점검_테스트'!M6:M21,"=문제없음")</f>
        <v>0</v>
      </c>
      <c r="F33" s="92">
        <f>COUNTIF('2.5품질점검_테스트'!M6:M21,"=개선필요")</f>
        <v>0</v>
      </c>
      <c r="G33" s="92">
        <f>COUNTIF('2.5품질점검_테스트'!M6:M21,"=N/A")</f>
        <v>0</v>
      </c>
      <c r="I33" s="131"/>
    </row>
    <row r="34" spans="2:11" ht="69.75" customHeight="1" thickBot="1" x14ac:dyDescent="0.45">
      <c r="B34" s="93" t="s">
        <v>302</v>
      </c>
      <c r="C34" s="123"/>
      <c r="D34" s="124"/>
      <c r="E34" s="124"/>
      <c r="F34" s="124"/>
      <c r="G34" s="125"/>
      <c r="I34" s="104"/>
    </row>
    <row r="35" spans="2:11" ht="5.25" customHeight="1" x14ac:dyDescent="0.4"/>
    <row r="36" spans="2:11" x14ac:dyDescent="0.4">
      <c r="B36" s="84" t="s">
        <v>340</v>
      </c>
      <c r="C36" s="85"/>
      <c r="D36" s="28"/>
      <c r="E36" s="130" t="s">
        <v>391</v>
      </c>
      <c r="F36" s="130"/>
      <c r="G36" s="130"/>
    </row>
    <row r="37" spans="2:11" ht="16.5" customHeight="1" x14ac:dyDescent="0.4">
      <c r="B37" s="128" t="s">
        <v>303</v>
      </c>
      <c r="C37" s="86" t="s">
        <v>304</v>
      </c>
      <c r="D37" s="87" t="s">
        <v>291</v>
      </c>
      <c r="E37" s="87" t="s">
        <v>292</v>
      </c>
      <c r="F37" s="87" t="s">
        <v>293</v>
      </c>
      <c r="G37" s="87" t="s">
        <v>94</v>
      </c>
      <c r="I37" s="126" t="s">
        <v>369</v>
      </c>
      <c r="K37" s="126" t="s">
        <v>365</v>
      </c>
    </row>
    <row r="38" spans="2:11" ht="18" thickBot="1" x14ac:dyDescent="0.45">
      <c r="B38" s="129"/>
      <c r="C38" s="91">
        <f>COUNTA('2.6품질점검_가동준비'!K6:K20)</f>
        <v>15</v>
      </c>
      <c r="D38" s="92">
        <f>COUNTIF('2.6품질점검_가동준비'!M6:M20,"=BP 공유수준")</f>
        <v>0</v>
      </c>
      <c r="E38" s="92">
        <f>COUNTIF('2.6품질점검_가동준비'!M6:M20,"=문제없음")</f>
        <v>0</v>
      </c>
      <c r="F38" s="92">
        <f>COUNTIF('2.6품질점검_가동준비'!M6:M20,"=개선필요")</f>
        <v>0</v>
      </c>
      <c r="G38" s="92">
        <f>COUNTIF('2.6품질점검_가동준비'!M6:M20,"=N/A")</f>
        <v>0</v>
      </c>
      <c r="I38" s="131"/>
      <c r="K38" s="127"/>
    </row>
    <row r="39" spans="2:11" ht="54" customHeight="1" thickBot="1" x14ac:dyDescent="0.45">
      <c r="B39" s="93" t="s">
        <v>302</v>
      </c>
      <c r="C39" s="123"/>
      <c r="D39" s="124"/>
      <c r="E39" s="124"/>
      <c r="F39" s="124"/>
      <c r="G39" s="125"/>
      <c r="I39" s="104"/>
      <c r="K39" s="105"/>
    </row>
  </sheetData>
  <sheetProtection sheet="1" formatRows="0" selectLockedCells="1"/>
  <mergeCells count="33">
    <mergeCell ref="B2:K2"/>
    <mergeCell ref="C5:K5"/>
    <mergeCell ref="C6:K6"/>
    <mergeCell ref="C7:K7"/>
    <mergeCell ref="C8:K8"/>
    <mergeCell ref="E21:G21"/>
    <mergeCell ref="E26:G26"/>
    <mergeCell ref="E31:G31"/>
    <mergeCell ref="B37:B38"/>
    <mergeCell ref="C9:K9"/>
    <mergeCell ref="I12:I13"/>
    <mergeCell ref="I17:I18"/>
    <mergeCell ref="I22:I23"/>
    <mergeCell ref="I27:I28"/>
    <mergeCell ref="B12:B13"/>
    <mergeCell ref="C14:G14"/>
    <mergeCell ref="B17:B18"/>
    <mergeCell ref="C19:G19"/>
    <mergeCell ref="E11:G11"/>
    <mergeCell ref="E16:G16"/>
    <mergeCell ref="C39:G39"/>
    <mergeCell ref="K37:K38"/>
    <mergeCell ref="B22:B23"/>
    <mergeCell ref="C24:G24"/>
    <mergeCell ref="K22:K23"/>
    <mergeCell ref="B27:B28"/>
    <mergeCell ref="C29:G29"/>
    <mergeCell ref="K27:K28"/>
    <mergeCell ref="E36:G36"/>
    <mergeCell ref="B32:B33"/>
    <mergeCell ref="C34:G34"/>
    <mergeCell ref="I37:I38"/>
    <mergeCell ref="I32:I33"/>
  </mergeCells>
  <phoneticPr fontId="3" type="noConversion"/>
  <conditionalFormatting sqref="K24 K29 K39">
    <cfRule type="containsText" dxfId="204" priority="8" operator="containsText" text="Pass">
      <formula>NOT(ISERROR(SEARCH("Pass",K24)))</formula>
    </cfRule>
  </conditionalFormatting>
  <conditionalFormatting sqref="I14 I19 I24 I29 I34 I39">
    <cfRule type="containsText" dxfId="203" priority="1" operator="containsText" text="부적정">
      <formula>NOT(ISERROR(SEARCH("부적정",I14)))</formula>
    </cfRule>
    <cfRule type="containsText" dxfId="202" priority="2" operator="containsText" text="보통">
      <formula>NOT(ISERROR(SEARCH("보통",I14)))</formula>
    </cfRule>
    <cfRule type="containsText" dxfId="201" priority="3" operator="containsText" text="적정">
      <formula>NOT(ISERROR(SEARCH("적정",I14)))</formula>
    </cfRule>
    <cfRule type="containsText" dxfId="200" priority="4" operator="containsText" text="우수">
      <formula>NOT(ISERROR(SEARCH("우수",I14)))</formula>
    </cfRule>
  </conditionalFormatting>
  <dataValidations count="1">
    <dataValidation type="list" allowBlank="1" showInputMessage="1" showErrorMessage="1" sqref="I14 I19 I24 I29 I34 I39" xr:uid="{243E72CF-C198-423B-B859-902450E61B97}">
      <formula1>"우수,적정,보통,미흡,부적정"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B2:O25"/>
  <sheetViews>
    <sheetView zoomScaleNormal="100" workbookViewId="0">
      <pane xSplit="1" ySplit="5" topLeftCell="B11" activePane="bottomRight" state="frozen"/>
      <selection pane="topRight" activeCell="B1" sqref="B1"/>
      <selection pane="bottomLeft" activeCell="A6" sqref="A6"/>
      <selection pane="bottomRight" activeCell="N16" sqref="N16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09765625" style="38" customWidth="1"/>
    <col min="10" max="10" width="18.3984375" style="38" customWidth="1"/>
    <col min="11" max="11" width="57.59765625" style="39" customWidth="1"/>
    <col min="12" max="12" width="16.898437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313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2.5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5" t="s">
        <v>202</v>
      </c>
      <c r="N4" s="155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6"/>
      <c r="N5" s="156"/>
      <c r="O5" s="88"/>
    </row>
    <row r="6" spans="2:15" ht="65.400000000000006" customHeight="1" x14ac:dyDescent="0.4">
      <c r="B6" s="152" t="s">
        <v>216</v>
      </c>
      <c r="C6" s="152" t="s">
        <v>141</v>
      </c>
      <c r="D6" s="40"/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 t="s">
        <v>382</v>
      </c>
      <c r="N6" s="110" t="s">
        <v>400</v>
      </c>
      <c r="O6" s="89"/>
    </row>
    <row r="7" spans="2:15" ht="48.75" customHeight="1" x14ac:dyDescent="0.4">
      <c r="B7" s="152"/>
      <c r="C7" s="152"/>
      <c r="D7" s="40"/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 t="s">
        <v>382</v>
      </c>
      <c r="N7" s="110" t="s">
        <v>394</v>
      </c>
      <c r="O7" s="89"/>
    </row>
    <row r="8" spans="2:15" ht="42.6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 t="s">
        <v>382</v>
      </c>
      <c r="N8" s="110" t="s">
        <v>394</v>
      </c>
      <c r="O8" s="90"/>
    </row>
    <row r="9" spans="2:15" ht="39.6" customHeight="1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 t="s">
        <v>382</v>
      </c>
      <c r="N9" s="110" t="s">
        <v>395</v>
      </c>
      <c r="O9" s="90"/>
    </row>
    <row r="10" spans="2:15" ht="95.4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 t="s">
        <v>384</v>
      </c>
      <c r="N10" s="110" t="s">
        <v>401</v>
      </c>
      <c r="O10" s="90"/>
    </row>
    <row r="11" spans="2:15" ht="45" customHeight="1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 t="s">
        <v>382</v>
      </c>
      <c r="N11" s="110" t="s">
        <v>396</v>
      </c>
      <c r="O11" s="90"/>
    </row>
    <row r="12" spans="2:15" ht="72" x14ac:dyDescent="0.4">
      <c r="B12" s="152"/>
      <c r="C12" s="152"/>
      <c r="D12" s="66"/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329</v>
      </c>
      <c r="L12" s="40" t="s">
        <v>38</v>
      </c>
      <c r="M12" s="108" t="s">
        <v>382</v>
      </c>
      <c r="N12" s="110" t="s">
        <v>397</v>
      </c>
      <c r="O12" s="107"/>
    </row>
    <row r="13" spans="2:15" ht="36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 t="s">
        <v>382</v>
      </c>
      <c r="N13" s="110" t="s">
        <v>402</v>
      </c>
      <c r="O13" s="90"/>
    </row>
    <row r="14" spans="2:15" ht="48" x14ac:dyDescent="0.4">
      <c r="B14" s="152"/>
      <c r="C14" s="152"/>
      <c r="D14" s="66"/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 t="s">
        <v>382</v>
      </c>
      <c r="N14" s="110" t="s">
        <v>398</v>
      </c>
      <c r="O14" s="90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33</v>
      </c>
      <c r="K15" s="67" t="s">
        <v>259</v>
      </c>
      <c r="L15" s="80" t="s">
        <v>21</v>
      </c>
      <c r="M15" s="108" t="s">
        <v>382</v>
      </c>
      <c r="N15" s="110" t="s">
        <v>399</v>
      </c>
      <c r="O15" s="90"/>
    </row>
    <row r="16" spans="2:15" ht="120" x14ac:dyDescent="0.4">
      <c r="B16" s="152" t="s">
        <v>204</v>
      </c>
      <c r="C16" s="152" t="s">
        <v>143</v>
      </c>
      <c r="D16" s="66"/>
      <c r="E16" s="66" t="s">
        <v>107</v>
      </c>
      <c r="F16" s="62" t="s">
        <v>107</v>
      </c>
      <c r="G16" s="66" t="s">
        <v>107</v>
      </c>
      <c r="H16" s="66" t="s">
        <v>271</v>
      </c>
      <c r="I16" s="40" t="s">
        <v>104</v>
      </c>
      <c r="J16" s="40" t="s">
        <v>99</v>
      </c>
      <c r="K16" s="67" t="s">
        <v>260</v>
      </c>
      <c r="L16" s="80" t="s">
        <v>21</v>
      </c>
      <c r="M16" s="108" t="s">
        <v>382</v>
      </c>
      <c r="N16" s="109" t="s">
        <v>405</v>
      </c>
      <c r="O16" s="90"/>
    </row>
    <row r="17" spans="2:15" ht="12" x14ac:dyDescent="0.4">
      <c r="B17" s="152"/>
      <c r="C17" s="152"/>
      <c r="D17" s="66"/>
      <c r="E17" s="66" t="s">
        <v>107</v>
      </c>
      <c r="F17" s="62" t="s">
        <v>107</v>
      </c>
      <c r="G17" s="66" t="s">
        <v>107</v>
      </c>
      <c r="H17" s="66" t="s">
        <v>271</v>
      </c>
      <c r="I17" s="66" t="s">
        <v>283</v>
      </c>
      <c r="J17" s="66" t="s">
        <v>99</v>
      </c>
      <c r="K17" s="67" t="s">
        <v>100</v>
      </c>
      <c r="L17" s="40" t="s">
        <v>126</v>
      </c>
      <c r="M17" s="108" t="s">
        <v>382</v>
      </c>
      <c r="N17" s="109" t="s">
        <v>406</v>
      </c>
      <c r="O17" s="90"/>
    </row>
    <row r="18" spans="2:15" ht="60" x14ac:dyDescent="0.4">
      <c r="B18" s="152"/>
      <c r="C18" s="152"/>
      <c r="D18" s="66"/>
      <c r="E18" s="66" t="s">
        <v>107</v>
      </c>
      <c r="F18" s="62" t="s">
        <v>107</v>
      </c>
      <c r="G18" s="66" t="s">
        <v>107</v>
      </c>
      <c r="H18" s="66" t="s">
        <v>29</v>
      </c>
      <c r="I18" s="66" t="s">
        <v>284</v>
      </c>
      <c r="J18" s="66" t="s">
        <v>30</v>
      </c>
      <c r="K18" s="67" t="s">
        <v>211</v>
      </c>
      <c r="L18" s="80" t="s">
        <v>21</v>
      </c>
      <c r="M18" s="108" t="s">
        <v>382</v>
      </c>
      <c r="N18" s="109" t="s">
        <v>407</v>
      </c>
      <c r="O18" s="90"/>
    </row>
    <row r="25" spans="2:15" x14ac:dyDescent="0.4">
      <c r="O25" s="83"/>
    </row>
  </sheetData>
  <sheetProtection formatColumns="0"/>
  <mergeCells count="16">
    <mergeCell ref="B2:O2"/>
    <mergeCell ref="B6:B15"/>
    <mergeCell ref="C6:C15"/>
    <mergeCell ref="B16:B18"/>
    <mergeCell ref="B4:B5"/>
    <mergeCell ref="C4:C5"/>
    <mergeCell ref="D4:D5"/>
    <mergeCell ref="M4:M5"/>
    <mergeCell ref="I4:I5"/>
    <mergeCell ref="J4:J5"/>
    <mergeCell ref="L4:L5"/>
    <mergeCell ref="N4:N5"/>
    <mergeCell ref="E4:G4"/>
    <mergeCell ref="C16:C18"/>
    <mergeCell ref="H4:H5"/>
    <mergeCell ref="K4:K5"/>
  </mergeCells>
  <phoneticPr fontId="3" type="noConversion"/>
  <conditionalFormatting sqref="M12">
    <cfRule type="containsText" dxfId="195" priority="25" operator="containsText" text="부적정">
      <formula>NOT(ISERROR(SEARCH("부적정",M12)))</formula>
    </cfRule>
    <cfRule type="containsText" dxfId="194" priority="26" operator="containsText" text="보통">
      <formula>NOT(ISERROR(SEARCH("보통",M12)))</formula>
    </cfRule>
    <cfRule type="containsText" dxfId="193" priority="27" operator="containsText" text="적정">
      <formula>NOT(ISERROR(SEARCH("적정",M12)))</formula>
    </cfRule>
    <cfRule type="containsText" dxfId="192" priority="28" operator="containsText" text="우수">
      <formula>NOT(ISERROR(SEARCH("우수",M12)))</formula>
    </cfRule>
  </conditionalFormatting>
  <conditionalFormatting sqref="N16:N18">
    <cfRule type="containsText" dxfId="191" priority="21" operator="containsText" text="부적정">
      <formula>NOT(ISERROR(SEARCH("부적정",N16)))</formula>
    </cfRule>
    <cfRule type="containsText" dxfId="190" priority="22" operator="containsText" text="보통">
      <formula>NOT(ISERROR(SEARCH("보통",N16)))</formula>
    </cfRule>
    <cfRule type="containsText" dxfId="189" priority="23" operator="containsText" text="적정">
      <formula>NOT(ISERROR(SEARCH("적정",N16)))</formula>
    </cfRule>
    <cfRule type="containsText" dxfId="188" priority="24" operator="containsText" text="우수">
      <formula>NOT(ISERROR(SEARCH("우수",N16)))</formula>
    </cfRule>
  </conditionalFormatting>
  <conditionalFormatting sqref="M6:M11">
    <cfRule type="containsText" dxfId="183" priority="13" operator="containsText" text="부적정">
      <formula>NOT(ISERROR(SEARCH("부적정",M6)))</formula>
    </cfRule>
    <cfRule type="containsText" dxfId="182" priority="14" operator="containsText" text="보통">
      <formula>NOT(ISERROR(SEARCH("보통",M6)))</formula>
    </cfRule>
    <cfRule type="containsText" dxfId="181" priority="15" operator="containsText" text="적정">
      <formula>NOT(ISERROR(SEARCH("적정",M6)))</formula>
    </cfRule>
    <cfRule type="containsText" dxfId="180" priority="16" operator="containsText" text="우수">
      <formula>NOT(ISERROR(SEARCH("우수",M6)))</formula>
    </cfRule>
  </conditionalFormatting>
  <conditionalFormatting sqref="M13:M18">
    <cfRule type="containsText" dxfId="179" priority="9" operator="containsText" text="부적정">
      <formula>NOT(ISERROR(SEARCH("부적정",M13)))</formula>
    </cfRule>
    <cfRule type="containsText" dxfId="178" priority="10" operator="containsText" text="보통">
      <formula>NOT(ISERROR(SEARCH("보통",M13)))</formula>
    </cfRule>
    <cfRule type="containsText" dxfId="177" priority="11" operator="containsText" text="적정">
      <formula>NOT(ISERROR(SEARCH("적정",M13)))</formula>
    </cfRule>
    <cfRule type="containsText" dxfId="176" priority="12" operator="containsText" text="우수">
      <formula>NOT(ISERROR(SEARCH("우수",M13)))</formula>
    </cfRule>
  </conditionalFormatting>
  <conditionalFormatting sqref="O4">
    <cfRule type="containsText" dxfId="175" priority="5" operator="containsText" text="부적정">
      <formula>NOT(ISERROR(SEARCH("부적정",O4)))</formula>
    </cfRule>
    <cfRule type="containsText" dxfId="174" priority="6" operator="containsText" text="보통">
      <formula>NOT(ISERROR(SEARCH("보통",O4)))</formula>
    </cfRule>
    <cfRule type="containsText" dxfId="173" priority="7" operator="containsText" text="적정">
      <formula>NOT(ISERROR(SEARCH("적정",O4)))</formula>
    </cfRule>
    <cfRule type="containsText" dxfId="172" priority="8" operator="containsText" text="우수">
      <formula>NOT(ISERROR(SEARCH("우수",O4)))</formula>
    </cfRule>
  </conditionalFormatting>
  <conditionalFormatting sqref="N6:N15">
    <cfRule type="containsText" dxfId="19" priority="1" operator="containsText" text="부적정">
      <formula>NOT(ISERROR(SEARCH("부적정",N6)))</formula>
    </cfRule>
    <cfRule type="containsText" dxfId="18" priority="2" operator="containsText" text="보통">
      <formula>NOT(ISERROR(SEARCH("보통",N6)))</formula>
    </cfRule>
    <cfRule type="containsText" dxfId="17" priority="3" operator="containsText" text="적정">
      <formula>NOT(ISERROR(SEARCH("적정",N6)))</formula>
    </cfRule>
    <cfRule type="containsText" dxfId="16" priority="4" operator="containsText" text="우수">
      <formula>NOT(ISERROR(SEARCH("우수",N6)))</formula>
    </cfRule>
  </conditionalFormatting>
  <dataValidations count="1">
    <dataValidation type="list" allowBlank="1" showInputMessage="1" showErrorMessage="1" sqref="M6:M18" xr:uid="{65FD2672-B9B3-44AC-B177-F88E406C271F}">
      <formula1>"BP 공유수준,문제없음,개선필요,N/A"</formula1>
    </dataValidation>
  </dataValidations>
  <pageMargins left="0.19685039370078741" right="0.19685039370078741" top="0.27559055118110237" bottom="0.19685039370078741" header="0.19685039370078741" footer="0.19685039370078741"/>
  <pageSetup paperSize="9" scale="70" orientation="landscape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2C88-F083-43EF-B332-41C923999A15}">
  <sheetPr codeName="Sheet9">
    <tabColor rgb="FFFF0000"/>
  </sheetPr>
  <dimension ref="B2:O25"/>
  <sheetViews>
    <sheetView tabSelected="1" workbookViewId="0">
      <pane xSplit="1" ySplit="5" topLeftCell="B13" activePane="bottomRight" state="frozen"/>
      <selection pane="topRight" activeCell="B1" sqref="B1"/>
      <selection pane="bottomLeft" activeCell="A6" sqref="A6"/>
      <selection pane="bottomRight" activeCell="N19" sqref="N19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19921875" style="38" customWidth="1"/>
    <col min="10" max="10" width="18.3984375" style="38" customWidth="1"/>
    <col min="11" max="11" width="57.59765625" style="39" customWidth="1"/>
    <col min="12" max="12" width="16.898437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314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7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3" t="s">
        <v>202</v>
      </c>
      <c r="N4" s="153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4"/>
      <c r="N5" s="154"/>
      <c r="O5" s="79"/>
    </row>
    <row r="6" spans="2:15" ht="48" x14ac:dyDescent="0.4">
      <c r="B6" s="152" t="s">
        <v>216</v>
      </c>
      <c r="C6" s="152" t="s">
        <v>141</v>
      </c>
      <c r="D6" s="40"/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 t="s">
        <v>382</v>
      </c>
      <c r="N6" s="110" t="s">
        <v>383</v>
      </c>
      <c r="O6" s="77"/>
    </row>
    <row r="7" spans="2:15" ht="48.75" customHeight="1" x14ac:dyDescent="0.4">
      <c r="B7" s="152"/>
      <c r="C7" s="152"/>
      <c r="D7" s="40"/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 t="s">
        <v>382</v>
      </c>
      <c r="N7" s="110" t="s">
        <v>400</v>
      </c>
      <c r="O7" s="77"/>
    </row>
    <row r="8" spans="2:15" ht="22.5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 t="s">
        <v>382</v>
      </c>
      <c r="N8" s="110" t="s">
        <v>394</v>
      </c>
      <c r="O8" s="78"/>
    </row>
    <row r="9" spans="2:15" ht="24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 t="s">
        <v>382</v>
      </c>
      <c r="N9" s="110" t="s">
        <v>394</v>
      </c>
      <c r="O9" s="78"/>
    </row>
    <row r="10" spans="2:15" ht="65.25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 t="s">
        <v>384</v>
      </c>
      <c r="N10" s="110" t="s">
        <v>395</v>
      </c>
      <c r="O10" s="78"/>
    </row>
    <row r="11" spans="2:15" ht="72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 t="s">
        <v>382</v>
      </c>
      <c r="N11" s="110" t="s">
        <v>401</v>
      </c>
      <c r="O11" s="78"/>
    </row>
    <row r="12" spans="2:15" ht="72" x14ac:dyDescent="0.4">
      <c r="B12" s="152"/>
      <c r="C12" s="152"/>
      <c r="D12" s="66"/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154</v>
      </c>
      <c r="L12" s="40" t="s">
        <v>38</v>
      </c>
      <c r="M12" s="108" t="s">
        <v>382</v>
      </c>
      <c r="N12" s="110" t="s">
        <v>396</v>
      </c>
      <c r="O12" s="78"/>
    </row>
    <row r="13" spans="2:15" ht="48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 t="s">
        <v>382</v>
      </c>
      <c r="N13" s="110" t="s">
        <v>397</v>
      </c>
      <c r="O13" s="78"/>
    </row>
    <row r="14" spans="2:15" ht="48" x14ac:dyDescent="0.4">
      <c r="B14" s="152"/>
      <c r="C14" s="152"/>
      <c r="D14" s="66"/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 t="s">
        <v>382</v>
      </c>
      <c r="N14" s="110" t="s">
        <v>402</v>
      </c>
      <c r="O14" s="78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33</v>
      </c>
      <c r="K15" s="67" t="s">
        <v>259</v>
      </c>
      <c r="L15" s="80" t="s">
        <v>21</v>
      </c>
      <c r="M15" s="108" t="s">
        <v>382</v>
      </c>
      <c r="N15" s="110" t="s">
        <v>398</v>
      </c>
      <c r="O15" s="78"/>
    </row>
    <row r="16" spans="2:15" ht="60" x14ac:dyDescent="0.4">
      <c r="B16" s="152" t="s">
        <v>204</v>
      </c>
      <c r="C16" s="152" t="s">
        <v>39</v>
      </c>
      <c r="D16" s="66"/>
      <c r="E16" s="66" t="s">
        <v>107</v>
      </c>
      <c r="F16" s="62" t="s">
        <v>107</v>
      </c>
      <c r="G16" s="66"/>
      <c r="H16" s="40" t="s">
        <v>27</v>
      </c>
      <c r="I16" s="40" t="s">
        <v>285</v>
      </c>
      <c r="J16" s="40" t="s">
        <v>262</v>
      </c>
      <c r="K16" s="67" t="s">
        <v>330</v>
      </c>
      <c r="L16" s="80" t="s">
        <v>21</v>
      </c>
      <c r="M16" s="108" t="s">
        <v>382</v>
      </c>
      <c r="N16" s="110" t="s">
        <v>399</v>
      </c>
      <c r="O16" s="78"/>
    </row>
    <row r="17" spans="2:15" ht="122.25" customHeight="1" x14ac:dyDescent="0.4">
      <c r="B17" s="152"/>
      <c r="C17" s="152"/>
      <c r="D17" s="66"/>
      <c r="E17" s="66" t="s">
        <v>107</v>
      </c>
      <c r="F17" s="62" t="s">
        <v>107</v>
      </c>
      <c r="G17" s="66" t="s">
        <v>107</v>
      </c>
      <c r="H17" s="40" t="s">
        <v>27</v>
      </c>
      <c r="I17" s="40" t="s">
        <v>286</v>
      </c>
      <c r="J17" s="40" t="s">
        <v>28</v>
      </c>
      <c r="K17" s="67" t="s">
        <v>331</v>
      </c>
      <c r="L17" s="80" t="s">
        <v>21</v>
      </c>
      <c r="M17" s="108" t="s">
        <v>382</v>
      </c>
      <c r="N17" s="109" t="s">
        <v>408</v>
      </c>
      <c r="O17" s="78"/>
    </row>
    <row r="18" spans="2:15" ht="24" x14ac:dyDescent="0.4">
      <c r="B18" s="152"/>
      <c r="C18" s="152"/>
      <c r="D18" s="66"/>
      <c r="E18" s="66" t="s">
        <v>107</v>
      </c>
      <c r="F18" s="62" t="s">
        <v>107</v>
      </c>
      <c r="G18" s="40"/>
      <c r="H18" s="40" t="s">
        <v>27</v>
      </c>
      <c r="I18" s="40" t="s">
        <v>286</v>
      </c>
      <c r="J18" s="40" t="s">
        <v>150</v>
      </c>
      <c r="K18" s="67" t="s">
        <v>167</v>
      </c>
      <c r="L18" s="80" t="s">
        <v>21</v>
      </c>
      <c r="M18" s="108" t="s">
        <v>382</v>
      </c>
      <c r="N18" s="109" t="s">
        <v>409</v>
      </c>
      <c r="O18" s="78"/>
    </row>
    <row r="19" spans="2:15" ht="12" x14ac:dyDescent="0.4">
      <c r="B19" s="152"/>
      <c r="C19" s="152"/>
      <c r="D19" s="66"/>
      <c r="E19" s="66" t="s">
        <v>107</v>
      </c>
      <c r="F19" s="62" t="s">
        <v>107</v>
      </c>
      <c r="G19" s="40" t="s">
        <v>107</v>
      </c>
      <c r="H19" s="40" t="s">
        <v>27</v>
      </c>
      <c r="I19" s="40" t="s">
        <v>149</v>
      </c>
      <c r="J19" s="40" t="s">
        <v>163</v>
      </c>
      <c r="K19" s="67" t="s">
        <v>164</v>
      </c>
      <c r="L19" s="80" t="s">
        <v>21</v>
      </c>
      <c r="M19" s="108" t="s">
        <v>382</v>
      </c>
      <c r="N19" s="109"/>
      <c r="O19" s="78"/>
    </row>
    <row r="20" spans="2:15" ht="48" x14ac:dyDescent="0.4">
      <c r="B20" s="152"/>
      <c r="C20" s="152"/>
      <c r="D20" s="66"/>
      <c r="E20" s="66" t="s">
        <v>107</v>
      </c>
      <c r="F20" s="62"/>
      <c r="G20" s="40"/>
      <c r="H20" s="40" t="s">
        <v>27</v>
      </c>
      <c r="I20" s="40" t="s">
        <v>165</v>
      </c>
      <c r="J20" s="40" t="s">
        <v>161</v>
      </c>
      <c r="K20" s="70" t="s">
        <v>166</v>
      </c>
      <c r="L20" s="80" t="s">
        <v>21</v>
      </c>
      <c r="M20" s="108" t="s">
        <v>382</v>
      </c>
      <c r="N20" s="109"/>
      <c r="O20" s="78"/>
    </row>
    <row r="22" spans="2:15" x14ac:dyDescent="0.4">
      <c r="O22" s="83"/>
    </row>
    <row r="23" spans="2:15" x14ac:dyDescent="0.4">
      <c r="O23" s="83"/>
    </row>
    <row r="24" spans="2:15" x14ac:dyDescent="0.4">
      <c r="O24" s="83"/>
    </row>
    <row r="25" spans="2:15" x14ac:dyDescent="0.4">
      <c r="O25" s="83"/>
    </row>
  </sheetData>
  <mergeCells count="16">
    <mergeCell ref="B6:B15"/>
    <mergeCell ref="C6:C15"/>
    <mergeCell ref="B16:B20"/>
    <mergeCell ref="C16:C20"/>
    <mergeCell ref="B2:O2"/>
    <mergeCell ref="B4:B5"/>
    <mergeCell ref="C4:C5"/>
    <mergeCell ref="D4:D5"/>
    <mergeCell ref="E4:G4"/>
    <mergeCell ref="H4:H5"/>
    <mergeCell ref="I4:I5"/>
    <mergeCell ref="J4:J5"/>
    <mergeCell ref="K4:K5"/>
    <mergeCell ref="L4:L5"/>
    <mergeCell ref="M4:M5"/>
    <mergeCell ref="N4:N5"/>
  </mergeCells>
  <phoneticPr fontId="3" type="noConversion"/>
  <conditionalFormatting sqref="N17:N20">
    <cfRule type="containsText" dxfId="171" priority="41" operator="containsText" text="부적정">
      <formula>NOT(ISERROR(SEARCH("부적정",N17)))</formula>
    </cfRule>
    <cfRule type="containsText" dxfId="170" priority="42" operator="containsText" text="보통">
      <formula>NOT(ISERROR(SEARCH("보통",N17)))</formula>
    </cfRule>
    <cfRule type="containsText" dxfId="169" priority="43" operator="containsText" text="적정">
      <formula>NOT(ISERROR(SEARCH("적정",N17)))</formula>
    </cfRule>
    <cfRule type="containsText" dxfId="168" priority="44" operator="containsText" text="우수">
      <formula>NOT(ISERROR(SEARCH("우수",N17)))</formula>
    </cfRule>
  </conditionalFormatting>
  <conditionalFormatting sqref="M16:M20">
    <cfRule type="containsText" dxfId="167" priority="37" operator="containsText" text="부적정">
      <formula>NOT(ISERROR(SEARCH("부적정",M16)))</formula>
    </cfRule>
    <cfRule type="containsText" dxfId="166" priority="38" operator="containsText" text="보통">
      <formula>NOT(ISERROR(SEARCH("보통",M16)))</formula>
    </cfRule>
    <cfRule type="containsText" dxfId="165" priority="39" operator="containsText" text="적정">
      <formula>NOT(ISERROR(SEARCH("적정",M16)))</formula>
    </cfRule>
    <cfRule type="containsText" dxfId="164" priority="40" operator="containsText" text="우수">
      <formula>NOT(ISERROR(SEARCH("우수",M16)))</formula>
    </cfRule>
  </conditionalFormatting>
  <conditionalFormatting sqref="O4">
    <cfRule type="containsText" dxfId="163" priority="33" operator="containsText" text="부적정">
      <formula>NOT(ISERROR(SEARCH("부적정",O4)))</formula>
    </cfRule>
    <cfRule type="containsText" dxfId="162" priority="34" operator="containsText" text="보통">
      <formula>NOT(ISERROR(SEARCH("보통",O4)))</formula>
    </cfRule>
    <cfRule type="containsText" dxfId="161" priority="35" operator="containsText" text="적정">
      <formula>NOT(ISERROR(SEARCH("적정",O4)))</formula>
    </cfRule>
    <cfRule type="containsText" dxfId="160" priority="36" operator="containsText" text="우수">
      <formula>NOT(ISERROR(SEARCH("우수",O4)))</formula>
    </cfRule>
  </conditionalFormatting>
  <conditionalFormatting sqref="M12">
    <cfRule type="containsText" dxfId="155" priority="25" operator="containsText" text="부적정">
      <formula>NOT(ISERROR(SEARCH("부적정",M12)))</formula>
    </cfRule>
    <cfRule type="containsText" dxfId="154" priority="26" operator="containsText" text="보통">
      <formula>NOT(ISERROR(SEARCH("보통",M12)))</formula>
    </cfRule>
    <cfRule type="containsText" dxfId="153" priority="27" operator="containsText" text="적정">
      <formula>NOT(ISERROR(SEARCH("적정",M12)))</formula>
    </cfRule>
    <cfRule type="containsText" dxfId="152" priority="28" operator="containsText" text="우수">
      <formula>NOT(ISERROR(SEARCH("우수",M12)))</formula>
    </cfRule>
  </conditionalFormatting>
  <conditionalFormatting sqref="N6">
    <cfRule type="containsText" dxfId="147" priority="17" operator="containsText" text="부적정">
      <formula>NOT(ISERROR(SEARCH("부적정",N6)))</formula>
    </cfRule>
    <cfRule type="containsText" dxfId="146" priority="18" operator="containsText" text="보통">
      <formula>NOT(ISERROR(SEARCH("보통",N6)))</formula>
    </cfRule>
    <cfRule type="containsText" dxfId="145" priority="19" operator="containsText" text="적정">
      <formula>NOT(ISERROR(SEARCH("적정",N6)))</formula>
    </cfRule>
    <cfRule type="containsText" dxfId="144" priority="20" operator="containsText" text="우수">
      <formula>NOT(ISERROR(SEARCH("우수",N6)))</formula>
    </cfRule>
  </conditionalFormatting>
  <conditionalFormatting sqref="M6:M11">
    <cfRule type="containsText" dxfId="143" priority="13" operator="containsText" text="부적정">
      <formula>NOT(ISERROR(SEARCH("부적정",M6)))</formula>
    </cfRule>
    <cfRule type="containsText" dxfId="142" priority="14" operator="containsText" text="보통">
      <formula>NOT(ISERROR(SEARCH("보통",M6)))</formula>
    </cfRule>
    <cfRule type="containsText" dxfId="141" priority="15" operator="containsText" text="적정">
      <formula>NOT(ISERROR(SEARCH("적정",M6)))</formula>
    </cfRule>
    <cfRule type="containsText" dxfId="140" priority="16" operator="containsText" text="우수">
      <formula>NOT(ISERROR(SEARCH("우수",M6)))</formula>
    </cfRule>
  </conditionalFormatting>
  <conditionalFormatting sqref="M13:M15">
    <cfRule type="containsText" dxfId="139" priority="9" operator="containsText" text="부적정">
      <formula>NOT(ISERROR(SEARCH("부적정",M13)))</formula>
    </cfRule>
    <cfRule type="containsText" dxfId="138" priority="10" operator="containsText" text="보통">
      <formula>NOT(ISERROR(SEARCH("보통",M13)))</formula>
    </cfRule>
    <cfRule type="containsText" dxfId="137" priority="11" operator="containsText" text="적정">
      <formula>NOT(ISERROR(SEARCH("적정",M13)))</formula>
    </cfRule>
    <cfRule type="containsText" dxfId="136" priority="12" operator="containsText" text="우수">
      <formula>NOT(ISERROR(SEARCH("우수",M13)))</formula>
    </cfRule>
  </conditionalFormatting>
  <conditionalFormatting sqref="N7:N16">
    <cfRule type="containsText" dxfId="7" priority="1" operator="containsText" text="부적정">
      <formula>NOT(ISERROR(SEARCH("부적정",N7)))</formula>
    </cfRule>
    <cfRule type="containsText" dxfId="6" priority="2" operator="containsText" text="보통">
      <formula>NOT(ISERROR(SEARCH("보통",N7)))</formula>
    </cfRule>
    <cfRule type="containsText" dxfId="5" priority="3" operator="containsText" text="적정">
      <formula>NOT(ISERROR(SEARCH("적정",N7)))</formula>
    </cfRule>
    <cfRule type="containsText" dxfId="4" priority="4" operator="containsText" text="우수">
      <formula>NOT(ISERROR(SEARCH("우수",N7)))</formula>
    </cfRule>
  </conditionalFormatting>
  <dataValidations count="1">
    <dataValidation type="list" allowBlank="1" showInputMessage="1" showErrorMessage="1" sqref="M6:M20" xr:uid="{7103DE05-FA1E-46DE-BB58-E88ECB371CE3}">
      <formula1>"BP 공유수준,문제없음,개선필요,N/A"</formula1>
    </dataValidation>
  </dataValidations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3BC4-0E0D-47AE-B4F4-FAE39AC1A9B2}">
  <sheetPr codeName="Sheet10">
    <tabColor rgb="FFFF0000"/>
  </sheetPr>
  <dimension ref="B2:O2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N11" sqref="N11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19921875" style="38" customWidth="1"/>
    <col min="10" max="10" width="18.3984375" style="38" customWidth="1"/>
    <col min="11" max="11" width="57.59765625" style="39" customWidth="1"/>
    <col min="12" max="12" width="17.0976562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315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8.5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3" t="s">
        <v>202</v>
      </c>
      <c r="N4" s="153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4"/>
      <c r="N5" s="154"/>
      <c r="O5" s="79"/>
    </row>
    <row r="6" spans="2:15" ht="48" x14ac:dyDescent="0.4">
      <c r="B6" s="152" t="s">
        <v>216</v>
      </c>
      <c r="C6" s="152" t="s">
        <v>141</v>
      </c>
      <c r="D6" s="40" t="s">
        <v>107</v>
      </c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 t="s">
        <v>382</v>
      </c>
      <c r="N6" s="110" t="s">
        <v>400</v>
      </c>
      <c r="O6" s="77"/>
    </row>
    <row r="7" spans="2:15" ht="48.75" customHeight="1" x14ac:dyDescent="0.4">
      <c r="B7" s="152"/>
      <c r="C7" s="152"/>
      <c r="D7" s="40" t="s">
        <v>107</v>
      </c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 t="s">
        <v>382</v>
      </c>
      <c r="N7" s="110" t="s">
        <v>394</v>
      </c>
      <c r="O7" s="77"/>
    </row>
    <row r="8" spans="2:15" ht="22.5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 t="s">
        <v>382</v>
      </c>
      <c r="N8" s="110" t="s">
        <v>394</v>
      </c>
      <c r="O8" s="78"/>
    </row>
    <row r="9" spans="2:15" ht="24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 t="s">
        <v>382</v>
      </c>
      <c r="N9" s="110" t="s">
        <v>395</v>
      </c>
      <c r="O9" s="78"/>
    </row>
    <row r="10" spans="2:15" ht="65.25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 t="s">
        <v>384</v>
      </c>
      <c r="N10" s="110" t="s">
        <v>401</v>
      </c>
      <c r="O10" s="78"/>
    </row>
    <row r="11" spans="2:15" ht="24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 t="s">
        <v>382</v>
      </c>
      <c r="N11" s="110" t="s">
        <v>396</v>
      </c>
      <c r="O11" s="78"/>
    </row>
    <row r="12" spans="2:15" ht="72" x14ac:dyDescent="0.4">
      <c r="B12" s="152"/>
      <c r="C12" s="152"/>
      <c r="D12" s="66" t="s">
        <v>107</v>
      </c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154</v>
      </c>
      <c r="L12" s="40" t="s">
        <v>38</v>
      </c>
      <c r="M12" s="108" t="s">
        <v>382</v>
      </c>
      <c r="N12" s="110" t="s">
        <v>397</v>
      </c>
      <c r="O12" s="78"/>
    </row>
    <row r="13" spans="2:15" ht="36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 t="s">
        <v>382</v>
      </c>
      <c r="N13" s="110" t="s">
        <v>402</v>
      </c>
      <c r="O13" s="78"/>
    </row>
    <row r="14" spans="2:15" ht="48" x14ac:dyDescent="0.4">
      <c r="B14" s="152"/>
      <c r="C14" s="152"/>
      <c r="D14" s="66" t="s">
        <v>107</v>
      </c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 t="s">
        <v>382</v>
      </c>
      <c r="N14" s="110" t="s">
        <v>398</v>
      </c>
      <c r="O14" s="78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307</v>
      </c>
      <c r="K15" s="67" t="s">
        <v>259</v>
      </c>
      <c r="L15" s="80" t="s">
        <v>21</v>
      </c>
      <c r="M15" s="108" t="s">
        <v>382</v>
      </c>
      <c r="N15" s="110" t="s">
        <v>399</v>
      </c>
      <c r="O15" s="78"/>
    </row>
    <row r="16" spans="2:15" ht="36" x14ac:dyDescent="0.4">
      <c r="B16" s="152" t="s">
        <v>204</v>
      </c>
      <c r="C16" s="152" t="s">
        <v>41</v>
      </c>
      <c r="D16" s="66"/>
      <c r="E16" s="66" t="s">
        <v>107</v>
      </c>
      <c r="F16" s="62" t="s">
        <v>107</v>
      </c>
      <c r="G16" s="40"/>
      <c r="H16" s="40" t="s">
        <v>27</v>
      </c>
      <c r="I16" s="40" t="s">
        <v>220</v>
      </c>
      <c r="J16" s="40" t="s">
        <v>221</v>
      </c>
      <c r="K16" s="70" t="s">
        <v>222</v>
      </c>
      <c r="L16" s="80" t="s">
        <v>21</v>
      </c>
      <c r="M16" s="108" t="s">
        <v>382</v>
      </c>
      <c r="N16" s="109"/>
      <c r="O16" s="78"/>
    </row>
    <row r="17" spans="2:15" ht="58.5" customHeight="1" x14ac:dyDescent="0.4">
      <c r="B17" s="152"/>
      <c r="C17" s="152"/>
      <c r="D17" s="66" t="s">
        <v>107</v>
      </c>
      <c r="E17" s="66" t="s">
        <v>107</v>
      </c>
      <c r="F17" s="62" t="s">
        <v>107</v>
      </c>
      <c r="G17" s="40" t="s">
        <v>107</v>
      </c>
      <c r="H17" s="40" t="s">
        <v>27</v>
      </c>
      <c r="I17" s="40" t="s">
        <v>307</v>
      </c>
      <c r="J17" s="40" t="s">
        <v>223</v>
      </c>
      <c r="K17" s="70" t="s">
        <v>224</v>
      </c>
      <c r="L17" s="40" t="s">
        <v>43</v>
      </c>
      <c r="M17" s="108" t="s">
        <v>382</v>
      </c>
      <c r="N17" s="109"/>
      <c r="O17" s="78"/>
    </row>
    <row r="18" spans="2:15" ht="51.75" customHeight="1" x14ac:dyDescent="0.4">
      <c r="B18" s="152"/>
      <c r="C18" s="152"/>
      <c r="D18" s="66" t="s">
        <v>107</v>
      </c>
      <c r="E18" s="66" t="s">
        <v>107</v>
      </c>
      <c r="F18" s="62" t="s">
        <v>107</v>
      </c>
      <c r="G18" s="40" t="s">
        <v>107</v>
      </c>
      <c r="H18" s="40" t="s">
        <v>27</v>
      </c>
      <c r="I18" s="40" t="s">
        <v>170</v>
      </c>
      <c r="J18" s="40" t="s">
        <v>155</v>
      </c>
      <c r="K18" s="70" t="s">
        <v>225</v>
      </c>
      <c r="L18" s="80" t="s">
        <v>21</v>
      </c>
      <c r="M18" s="108"/>
      <c r="N18" s="109"/>
      <c r="O18" s="78"/>
    </row>
    <row r="19" spans="2:15" ht="51" customHeight="1" x14ac:dyDescent="0.4">
      <c r="B19" s="152"/>
      <c r="C19" s="152"/>
      <c r="D19" s="66" t="s">
        <v>107</v>
      </c>
      <c r="E19" s="66" t="s">
        <v>107</v>
      </c>
      <c r="F19" s="62" t="s">
        <v>107</v>
      </c>
      <c r="G19" s="40" t="s">
        <v>107</v>
      </c>
      <c r="H19" s="40" t="s">
        <v>27</v>
      </c>
      <c r="I19" s="40" t="s">
        <v>156</v>
      </c>
      <c r="J19" s="40" t="s">
        <v>157</v>
      </c>
      <c r="K19" s="70" t="s">
        <v>226</v>
      </c>
      <c r="L19" s="80" t="s">
        <v>21</v>
      </c>
      <c r="M19" s="108"/>
      <c r="N19" s="109"/>
      <c r="O19" s="78"/>
    </row>
    <row r="20" spans="2:15" ht="63" customHeight="1" x14ac:dyDescent="0.4">
      <c r="B20" s="152"/>
      <c r="C20" s="152"/>
      <c r="D20" s="66" t="s">
        <v>107</v>
      </c>
      <c r="E20" s="66" t="s">
        <v>107</v>
      </c>
      <c r="F20" s="62" t="s">
        <v>107</v>
      </c>
      <c r="G20" s="40" t="s">
        <v>107</v>
      </c>
      <c r="H20" s="40" t="s">
        <v>27</v>
      </c>
      <c r="I20" s="40" t="s">
        <v>42</v>
      </c>
      <c r="J20" s="40" t="s">
        <v>160</v>
      </c>
      <c r="K20" s="70" t="s">
        <v>227</v>
      </c>
      <c r="L20" s="80" t="s">
        <v>21</v>
      </c>
      <c r="M20" s="108"/>
      <c r="N20" s="109"/>
      <c r="O20" s="78"/>
    </row>
    <row r="21" spans="2:15" ht="26.25" customHeight="1" x14ac:dyDescent="0.4">
      <c r="B21" s="152"/>
      <c r="C21" s="152"/>
      <c r="D21" s="66" t="s">
        <v>107</v>
      </c>
      <c r="E21" s="66" t="s">
        <v>107</v>
      </c>
      <c r="F21" s="62" t="s">
        <v>107</v>
      </c>
      <c r="G21" s="40" t="s">
        <v>107</v>
      </c>
      <c r="H21" s="40" t="s">
        <v>27</v>
      </c>
      <c r="I21" s="40" t="s">
        <v>44</v>
      </c>
      <c r="J21" s="40" t="s">
        <v>263</v>
      </c>
      <c r="K21" s="67" t="s">
        <v>264</v>
      </c>
      <c r="L21" s="80" t="s">
        <v>21</v>
      </c>
      <c r="M21" s="108"/>
      <c r="N21" s="109"/>
      <c r="O21" s="78"/>
    </row>
    <row r="22" spans="2:15" ht="72" x14ac:dyDescent="0.4">
      <c r="B22" s="152"/>
      <c r="C22" s="152"/>
      <c r="D22" s="66" t="s">
        <v>107</v>
      </c>
      <c r="E22" s="66" t="s">
        <v>107</v>
      </c>
      <c r="F22" s="62" t="s">
        <v>107</v>
      </c>
      <c r="G22" s="40" t="s">
        <v>107</v>
      </c>
      <c r="H22" s="40" t="s">
        <v>27</v>
      </c>
      <c r="I22" s="40" t="s">
        <v>276</v>
      </c>
      <c r="J22" s="40" t="s">
        <v>274</v>
      </c>
      <c r="K22" s="67" t="s">
        <v>275</v>
      </c>
      <c r="L22" s="80" t="s">
        <v>21</v>
      </c>
      <c r="M22" s="108"/>
      <c r="N22" s="109"/>
      <c r="O22" s="78"/>
    </row>
    <row r="23" spans="2:15" ht="24" x14ac:dyDescent="0.4">
      <c r="B23" s="152"/>
      <c r="C23" s="152"/>
      <c r="D23" s="66"/>
      <c r="E23" s="66" t="s">
        <v>107</v>
      </c>
      <c r="F23" s="62" t="s">
        <v>107</v>
      </c>
      <c r="G23" s="40"/>
      <c r="H23" s="40" t="s">
        <v>32</v>
      </c>
      <c r="I23" s="40" t="s">
        <v>169</v>
      </c>
      <c r="J23" s="40" t="s">
        <v>168</v>
      </c>
      <c r="K23" s="67" t="s">
        <v>177</v>
      </c>
      <c r="L23" s="40"/>
      <c r="M23" s="108"/>
      <c r="N23" s="109"/>
      <c r="O23" s="78"/>
    </row>
    <row r="24" spans="2:15" ht="33" customHeight="1" x14ac:dyDescent="0.4">
      <c r="B24" s="152"/>
      <c r="C24" s="152"/>
      <c r="D24" s="66" t="s">
        <v>107</v>
      </c>
      <c r="E24" s="66" t="s">
        <v>107</v>
      </c>
      <c r="F24" s="62" t="s">
        <v>107</v>
      </c>
      <c r="G24" s="40" t="s">
        <v>107</v>
      </c>
      <c r="H24" s="40" t="s">
        <v>32</v>
      </c>
      <c r="I24" s="40" t="s">
        <v>135</v>
      </c>
      <c r="J24" s="40" t="s">
        <v>215</v>
      </c>
      <c r="K24" s="67" t="s">
        <v>217</v>
      </c>
      <c r="L24" s="40" t="s">
        <v>134</v>
      </c>
      <c r="M24" s="108"/>
      <c r="N24" s="109"/>
      <c r="O24" s="78"/>
    </row>
    <row r="25" spans="2:15" x14ac:dyDescent="0.4">
      <c r="O25" s="83"/>
    </row>
  </sheetData>
  <mergeCells count="16">
    <mergeCell ref="B6:B15"/>
    <mergeCell ref="C6:C15"/>
    <mergeCell ref="B16:B24"/>
    <mergeCell ref="C16:C24"/>
    <mergeCell ref="B2:O2"/>
    <mergeCell ref="B4:B5"/>
    <mergeCell ref="C4:C5"/>
    <mergeCell ref="D4:D5"/>
    <mergeCell ref="E4:G4"/>
    <mergeCell ref="H4:H5"/>
    <mergeCell ref="I4:I5"/>
    <mergeCell ref="J4:J5"/>
    <mergeCell ref="K4:K5"/>
    <mergeCell ref="L4:L5"/>
    <mergeCell ref="M4:M5"/>
    <mergeCell ref="N4:N5"/>
  </mergeCells>
  <phoneticPr fontId="3" type="noConversion"/>
  <conditionalFormatting sqref="N16:N24">
    <cfRule type="containsText" dxfId="135" priority="41" operator="containsText" text="부적정">
      <formula>NOT(ISERROR(SEARCH("부적정",N16)))</formula>
    </cfRule>
    <cfRule type="containsText" dxfId="134" priority="42" operator="containsText" text="보통">
      <formula>NOT(ISERROR(SEARCH("보통",N16)))</formula>
    </cfRule>
    <cfRule type="containsText" dxfId="133" priority="43" operator="containsText" text="적정">
      <formula>NOT(ISERROR(SEARCH("적정",N16)))</formula>
    </cfRule>
    <cfRule type="containsText" dxfId="132" priority="44" operator="containsText" text="우수">
      <formula>NOT(ISERROR(SEARCH("우수",N16)))</formula>
    </cfRule>
  </conditionalFormatting>
  <conditionalFormatting sqref="M16:M24">
    <cfRule type="containsText" dxfId="131" priority="37" operator="containsText" text="부적정">
      <formula>NOT(ISERROR(SEARCH("부적정",M16)))</formula>
    </cfRule>
    <cfRule type="containsText" dxfId="130" priority="38" operator="containsText" text="보통">
      <formula>NOT(ISERROR(SEARCH("보통",M16)))</formula>
    </cfRule>
    <cfRule type="containsText" dxfId="129" priority="39" operator="containsText" text="적정">
      <formula>NOT(ISERROR(SEARCH("적정",M16)))</formula>
    </cfRule>
    <cfRule type="containsText" dxfId="128" priority="40" operator="containsText" text="우수">
      <formula>NOT(ISERROR(SEARCH("우수",M16)))</formula>
    </cfRule>
  </conditionalFormatting>
  <conditionalFormatting sqref="O4">
    <cfRule type="containsText" dxfId="127" priority="33" operator="containsText" text="부적정">
      <formula>NOT(ISERROR(SEARCH("부적정",O4)))</formula>
    </cfRule>
    <cfRule type="containsText" dxfId="126" priority="34" operator="containsText" text="보통">
      <formula>NOT(ISERROR(SEARCH("보통",O4)))</formula>
    </cfRule>
    <cfRule type="containsText" dxfId="125" priority="35" operator="containsText" text="적정">
      <formula>NOT(ISERROR(SEARCH("적정",O4)))</formula>
    </cfRule>
    <cfRule type="containsText" dxfId="124" priority="36" operator="containsText" text="우수">
      <formula>NOT(ISERROR(SEARCH("우수",O4)))</formula>
    </cfRule>
  </conditionalFormatting>
  <conditionalFormatting sqref="M12">
    <cfRule type="containsText" dxfId="119" priority="25" operator="containsText" text="부적정">
      <formula>NOT(ISERROR(SEARCH("부적정",M12)))</formula>
    </cfRule>
    <cfRule type="containsText" dxfId="118" priority="26" operator="containsText" text="보통">
      <formula>NOT(ISERROR(SEARCH("보통",M12)))</formula>
    </cfRule>
    <cfRule type="containsText" dxfId="117" priority="27" operator="containsText" text="적정">
      <formula>NOT(ISERROR(SEARCH("적정",M12)))</formula>
    </cfRule>
    <cfRule type="containsText" dxfId="116" priority="28" operator="containsText" text="우수">
      <formula>NOT(ISERROR(SEARCH("우수",M12)))</formula>
    </cfRule>
  </conditionalFormatting>
  <conditionalFormatting sqref="M6:M11">
    <cfRule type="containsText" dxfId="107" priority="13" operator="containsText" text="부적정">
      <formula>NOT(ISERROR(SEARCH("부적정",M6)))</formula>
    </cfRule>
    <cfRule type="containsText" dxfId="106" priority="14" operator="containsText" text="보통">
      <formula>NOT(ISERROR(SEARCH("보통",M6)))</formula>
    </cfRule>
    <cfRule type="containsText" dxfId="105" priority="15" operator="containsText" text="적정">
      <formula>NOT(ISERROR(SEARCH("적정",M6)))</formula>
    </cfRule>
    <cfRule type="containsText" dxfId="104" priority="16" operator="containsText" text="우수">
      <formula>NOT(ISERROR(SEARCH("우수",M6)))</formula>
    </cfRule>
  </conditionalFormatting>
  <conditionalFormatting sqref="M13:M15">
    <cfRule type="containsText" dxfId="103" priority="9" operator="containsText" text="부적정">
      <formula>NOT(ISERROR(SEARCH("부적정",M13)))</formula>
    </cfRule>
    <cfRule type="containsText" dxfId="102" priority="10" operator="containsText" text="보통">
      <formula>NOT(ISERROR(SEARCH("보통",M13)))</formula>
    </cfRule>
    <cfRule type="containsText" dxfId="101" priority="11" operator="containsText" text="적정">
      <formula>NOT(ISERROR(SEARCH("적정",M13)))</formula>
    </cfRule>
    <cfRule type="containsText" dxfId="100" priority="12" operator="containsText" text="우수">
      <formula>NOT(ISERROR(SEARCH("우수",M13)))</formula>
    </cfRule>
  </conditionalFormatting>
  <conditionalFormatting sqref="N6:N15">
    <cfRule type="containsText" dxfId="3" priority="1" operator="containsText" text="부적정">
      <formula>NOT(ISERROR(SEARCH("부적정",N6)))</formula>
    </cfRule>
    <cfRule type="containsText" dxfId="2" priority="2" operator="containsText" text="보통">
      <formula>NOT(ISERROR(SEARCH("보통",N6)))</formula>
    </cfRule>
    <cfRule type="containsText" dxfId="1" priority="3" operator="containsText" text="적정">
      <formula>NOT(ISERROR(SEARCH("적정",N6)))</formula>
    </cfRule>
    <cfRule type="containsText" dxfId="0" priority="4" operator="containsText" text="우수">
      <formula>NOT(ISERROR(SEARCH("우수",N6)))</formula>
    </cfRule>
  </conditionalFormatting>
  <dataValidations count="1">
    <dataValidation type="list" allowBlank="1" showInputMessage="1" showErrorMessage="1" sqref="M6:M24" xr:uid="{FDFA032B-2909-4B65-B65A-CD68EF97ECF0}">
      <formula1>"BP 공유수준,문제없음,개선필요,N/A"</formula1>
    </dataValidation>
  </dataValidations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4D9EC-552F-4892-BC92-DA9764BD1F72}">
  <sheetPr codeName="Sheet11">
    <tabColor rgb="FFFF0000"/>
  </sheetPr>
  <dimension ref="B2:O2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N6" sqref="N6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19921875" style="38" customWidth="1"/>
    <col min="10" max="10" width="18.3984375" style="38" customWidth="1"/>
    <col min="11" max="11" width="57.59765625" style="39" customWidth="1"/>
    <col min="12" max="12" width="17.0976562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316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9.25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3" t="s">
        <v>202</v>
      </c>
      <c r="N4" s="153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4"/>
      <c r="N5" s="154"/>
      <c r="O5" s="79"/>
    </row>
    <row r="6" spans="2:15" ht="48" x14ac:dyDescent="0.4">
      <c r="B6" s="152" t="s">
        <v>216</v>
      </c>
      <c r="C6" s="152" t="s">
        <v>141</v>
      </c>
      <c r="D6" s="40" t="s">
        <v>107</v>
      </c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/>
      <c r="N6" s="109"/>
      <c r="O6" s="77"/>
    </row>
    <row r="7" spans="2:15" ht="48.75" customHeight="1" x14ac:dyDescent="0.4">
      <c r="B7" s="152"/>
      <c r="C7" s="152"/>
      <c r="D7" s="40" t="s">
        <v>107</v>
      </c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/>
      <c r="N7" s="109"/>
      <c r="O7" s="77"/>
    </row>
    <row r="8" spans="2:15" ht="22.5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/>
      <c r="N8" s="109"/>
      <c r="O8" s="78"/>
    </row>
    <row r="9" spans="2:15" ht="24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/>
      <c r="N9" s="109"/>
      <c r="O9" s="78"/>
    </row>
    <row r="10" spans="2:15" ht="65.25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/>
      <c r="N10" s="109"/>
      <c r="O10" s="78"/>
    </row>
    <row r="11" spans="2:15" ht="24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/>
      <c r="N11" s="109"/>
      <c r="O11" s="78"/>
    </row>
    <row r="12" spans="2:15" ht="72" x14ac:dyDescent="0.4">
      <c r="B12" s="152"/>
      <c r="C12" s="152"/>
      <c r="D12" s="66" t="s">
        <v>107</v>
      </c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154</v>
      </c>
      <c r="L12" s="40" t="s">
        <v>38</v>
      </c>
      <c r="M12" s="108"/>
      <c r="N12" s="109"/>
      <c r="O12" s="78"/>
    </row>
    <row r="13" spans="2:15" ht="36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/>
      <c r="N13" s="109"/>
      <c r="O13" s="78"/>
    </row>
    <row r="14" spans="2:15" ht="48" x14ac:dyDescent="0.4">
      <c r="B14" s="152"/>
      <c r="C14" s="152"/>
      <c r="D14" s="66" t="s">
        <v>107</v>
      </c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/>
      <c r="N14" s="109"/>
      <c r="O14" s="78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33</v>
      </c>
      <c r="K15" s="67" t="s">
        <v>259</v>
      </c>
      <c r="L15" s="80" t="s">
        <v>21</v>
      </c>
      <c r="M15" s="108"/>
      <c r="N15" s="109"/>
      <c r="O15" s="78"/>
    </row>
    <row r="16" spans="2:15" ht="36" x14ac:dyDescent="0.4">
      <c r="B16" s="152" t="s">
        <v>204</v>
      </c>
      <c r="C16" s="152" t="s">
        <v>20</v>
      </c>
      <c r="D16" s="66"/>
      <c r="E16" s="66" t="s">
        <v>107</v>
      </c>
      <c r="F16" s="62" t="s">
        <v>107</v>
      </c>
      <c r="G16" s="40" t="s">
        <v>107</v>
      </c>
      <c r="H16" s="40" t="s">
        <v>32</v>
      </c>
      <c r="I16" s="40" t="s">
        <v>96</v>
      </c>
      <c r="J16" s="40" t="s">
        <v>228</v>
      </c>
      <c r="K16" s="67" t="s">
        <v>332</v>
      </c>
      <c r="L16" s="40" t="s">
        <v>47</v>
      </c>
      <c r="M16" s="108"/>
      <c r="N16" s="109"/>
      <c r="O16" s="78"/>
    </row>
    <row r="17" spans="2:15" s="69" customFormat="1" ht="36.75" customHeight="1" x14ac:dyDescent="0.4">
      <c r="B17" s="152"/>
      <c r="C17" s="152"/>
      <c r="D17" s="66" t="s">
        <v>107</v>
      </c>
      <c r="E17" s="66" t="s">
        <v>107</v>
      </c>
      <c r="F17" s="62" t="s">
        <v>107</v>
      </c>
      <c r="G17" s="40" t="s">
        <v>107</v>
      </c>
      <c r="H17" s="40" t="s">
        <v>32</v>
      </c>
      <c r="I17" s="40" t="s">
        <v>96</v>
      </c>
      <c r="J17" s="40" t="s">
        <v>97</v>
      </c>
      <c r="K17" s="67" t="s">
        <v>229</v>
      </c>
      <c r="L17" s="40" t="s">
        <v>50</v>
      </c>
      <c r="M17" s="108"/>
      <c r="N17" s="109"/>
      <c r="O17" s="77"/>
    </row>
    <row r="18" spans="2:15" ht="36" x14ac:dyDescent="0.4">
      <c r="B18" s="152"/>
      <c r="C18" s="152"/>
      <c r="D18" s="66" t="s">
        <v>107</v>
      </c>
      <c r="E18" s="66" t="s">
        <v>107</v>
      </c>
      <c r="F18" s="62" t="s">
        <v>107</v>
      </c>
      <c r="G18" s="40" t="s">
        <v>107</v>
      </c>
      <c r="H18" s="40" t="s">
        <v>272</v>
      </c>
      <c r="I18" s="40" t="s">
        <v>288</v>
      </c>
      <c r="J18" s="40" t="s">
        <v>46</v>
      </c>
      <c r="K18" s="67" t="s">
        <v>265</v>
      </c>
      <c r="L18" s="40" t="s">
        <v>230</v>
      </c>
      <c r="M18" s="108"/>
      <c r="N18" s="109"/>
      <c r="O18" s="78"/>
    </row>
    <row r="19" spans="2:15" ht="67.5" customHeight="1" x14ac:dyDescent="0.4">
      <c r="B19" s="152"/>
      <c r="C19" s="152"/>
      <c r="D19" s="66"/>
      <c r="E19" s="66" t="s">
        <v>107</v>
      </c>
      <c r="F19" s="62" t="s">
        <v>107</v>
      </c>
      <c r="G19" s="40" t="s">
        <v>107</v>
      </c>
      <c r="H19" s="40" t="s">
        <v>272</v>
      </c>
      <c r="I19" s="40" t="s">
        <v>231</v>
      </c>
      <c r="J19" s="40" t="s">
        <v>232</v>
      </c>
      <c r="K19" s="67" t="s">
        <v>251</v>
      </c>
      <c r="L19" s="80" t="s">
        <v>21</v>
      </c>
      <c r="M19" s="108"/>
      <c r="N19" s="109"/>
      <c r="O19" s="78"/>
    </row>
    <row r="20" spans="2:15" ht="31.5" customHeight="1" x14ac:dyDescent="0.4">
      <c r="B20" s="152"/>
      <c r="C20" s="152"/>
      <c r="D20" s="66"/>
      <c r="E20" s="66" t="s">
        <v>107</v>
      </c>
      <c r="F20" s="62" t="s">
        <v>107</v>
      </c>
      <c r="G20" s="40" t="s">
        <v>107</v>
      </c>
      <c r="H20" s="40" t="s">
        <v>271</v>
      </c>
      <c r="I20" s="40" t="s">
        <v>289</v>
      </c>
      <c r="J20" s="40" t="s">
        <v>232</v>
      </c>
      <c r="K20" s="67" t="s">
        <v>233</v>
      </c>
      <c r="L20" s="40" t="s">
        <v>136</v>
      </c>
      <c r="M20" s="108"/>
      <c r="N20" s="109"/>
      <c r="O20" s="78"/>
    </row>
    <row r="21" spans="2:15" ht="48" x14ac:dyDescent="0.4">
      <c r="B21" s="152"/>
      <c r="C21" s="152"/>
      <c r="D21" s="66"/>
      <c r="E21" s="66" t="s">
        <v>107</v>
      </c>
      <c r="F21" s="62" t="s">
        <v>107</v>
      </c>
      <c r="G21" s="40"/>
      <c r="H21" s="40" t="s">
        <v>27</v>
      </c>
      <c r="I21" s="40" t="s">
        <v>290</v>
      </c>
      <c r="J21" s="40" t="s">
        <v>273</v>
      </c>
      <c r="K21" s="67" t="s">
        <v>234</v>
      </c>
      <c r="L21" s="80" t="s">
        <v>21</v>
      </c>
      <c r="M21" s="108"/>
      <c r="N21" s="109"/>
      <c r="O21" s="78"/>
    </row>
    <row r="22" spans="2:15" ht="64.95" customHeight="1" x14ac:dyDescent="0.4">
      <c r="B22" s="152"/>
      <c r="C22" s="152"/>
      <c r="D22" s="66" t="s">
        <v>107</v>
      </c>
      <c r="E22" s="66" t="s">
        <v>107</v>
      </c>
      <c r="F22" s="62" t="s">
        <v>107</v>
      </c>
      <c r="G22" s="40" t="s">
        <v>107</v>
      </c>
      <c r="H22" s="40" t="s">
        <v>32</v>
      </c>
      <c r="I22" s="40" t="s">
        <v>135</v>
      </c>
      <c r="J22" s="40" t="s">
        <v>215</v>
      </c>
      <c r="K22" s="67" t="s">
        <v>217</v>
      </c>
      <c r="L22" s="40" t="s">
        <v>134</v>
      </c>
      <c r="M22" s="108"/>
      <c r="N22" s="109"/>
      <c r="O22" s="78"/>
    </row>
    <row r="25" spans="2:15" x14ac:dyDescent="0.4">
      <c r="O25" s="83">
        <v>1</v>
      </c>
    </row>
  </sheetData>
  <mergeCells count="16">
    <mergeCell ref="B6:B15"/>
    <mergeCell ref="C6:C15"/>
    <mergeCell ref="B16:B22"/>
    <mergeCell ref="C16:C22"/>
    <mergeCell ref="B2:O2"/>
    <mergeCell ref="B4:B5"/>
    <mergeCell ref="C4:C5"/>
    <mergeCell ref="D4:D5"/>
    <mergeCell ref="E4:G4"/>
    <mergeCell ref="H4:H5"/>
    <mergeCell ref="I4:I5"/>
    <mergeCell ref="J4:J5"/>
    <mergeCell ref="K4:K5"/>
    <mergeCell ref="L4:L5"/>
    <mergeCell ref="M4:M5"/>
    <mergeCell ref="N4:N5"/>
  </mergeCells>
  <phoneticPr fontId="3" type="noConversion"/>
  <conditionalFormatting sqref="N6">
    <cfRule type="containsText" dxfId="99" priority="17" operator="containsText" text="부적정">
      <formula>NOT(ISERROR(SEARCH("부적정",N6)))</formula>
    </cfRule>
    <cfRule type="containsText" dxfId="98" priority="18" operator="containsText" text="보통">
      <formula>NOT(ISERROR(SEARCH("보통",N6)))</formula>
    </cfRule>
    <cfRule type="containsText" dxfId="97" priority="19" operator="containsText" text="적정">
      <formula>NOT(ISERROR(SEARCH("적정",N6)))</formula>
    </cfRule>
    <cfRule type="containsText" dxfId="96" priority="20" operator="containsText" text="우수">
      <formula>NOT(ISERROR(SEARCH("우수",N6)))</formula>
    </cfRule>
  </conditionalFormatting>
  <conditionalFormatting sqref="M6">
    <cfRule type="containsText" dxfId="95" priority="13" operator="containsText" text="부적정">
      <formula>NOT(ISERROR(SEARCH("부적정",M6)))</formula>
    </cfRule>
    <cfRule type="containsText" dxfId="94" priority="14" operator="containsText" text="보통">
      <formula>NOT(ISERROR(SEARCH("보통",M6)))</formula>
    </cfRule>
    <cfRule type="containsText" dxfId="93" priority="15" operator="containsText" text="적정">
      <formula>NOT(ISERROR(SEARCH("적정",M6)))</formula>
    </cfRule>
    <cfRule type="containsText" dxfId="92" priority="16" operator="containsText" text="우수">
      <formula>NOT(ISERROR(SEARCH("우수",M6)))</formula>
    </cfRule>
  </conditionalFormatting>
  <conditionalFormatting sqref="N7:N22">
    <cfRule type="containsText" dxfId="91" priority="9" operator="containsText" text="부적정">
      <formula>NOT(ISERROR(SEARCH("부적정",N7)))</formula>
    </cfRule>
    <cfRule type="containsText" dxfId="90" priority="10" operator="containsText" text="보통">
      <formula>NOT(ISERROR(SEARCH("보통",N7)))</formula>
    </cfRule>
    <cfRule type="containsText" dxfId="89" priority="11" operator="containsText" text="적정">
      <formula>NOT(ISERROR(SEARCH("적정",N7)))</formula>
    </cfRule>
    <cfRule type="containsText" dxfId="88" priority="12" operator="containsText" text="우수">
      <formula>NOT(ISERROR(SEARCH("우수",N7)))</formula>
    </cfRule>
  </conditionalFormatting>
  <conditionalFormatting sqref="M7:M22">
    <cfRule type="containsText" dxfId="87" priority="5" operator="containsText" text="부적정">
      <formula>NOT(ISERROR(SEARCH("부적정",M7)))</formula>
    </cfRule>
    <cfRule type="containsText" dxfId="86" priority="6" operator="containsText" text="보통">
      <formula>NOT(ISERROR(SEARCH("보통",M7)))</formula>
    </cfRule>
    <cfRule type="containsText" dxfId="85" priority="7" operator="containsText" text="적정">
      <formula>NOT(ISERROR(SEARCH("적정",M7)))</formula>
    </cfRule>
    <cfRule type="containsText" dxfId="84" priority="8" operator="containsText" text="우수">
      <formula>NOT(ISERROR(SEARCH("우수",M7)))</formula>
    </cfRule>
  </conditionalFormatting>
  <conditionalFormatting sqref="O4">
    <cfRule type="containsText" dxfId="83" priority="1" operator="containsText" text="부적정">
      <formula>NOT(ISERROR(SEARCH("부적정",O4)))</formula>
    </cfRule>
    <cfRule type="containsText" dxfId="82" priority="2" operator="containsText" text="보통">
      <formula>NOT(ISERROR(SEARCH("보통",O4)))</formula>
    </cfRule>
    <cfRule type="containsText" dxfId="81" priority="3" operator="containsText" text="적정">
      <formula>NOT(ISERROR(SEARCH("적정",O4)))</formula>
    </cfRule>
    <cfRule type="containsText" dxfId="80" priority="4" operator="containsText" text="우수">
      <formula>NOT(ISERROR(SEARCH("우수",O4)))</formula>
    </cfRule>
  </conditionalFormatting>
  <dataValidations count="1">
    <dataValidation type="list" allowBlank="1" showInputMessage="1" showErrorMessage="1" sqref="M6:M22" xr:uid="{7886BD9A-A885-4298-A06F-3F8EC05FC78C}">
      <formula1>"BP 공유수준,문제없음,개선필요,N/A"</formula1>
    </dataValidation>
  </dataValidations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0764-74BC-4B09-B8B7-8E9FD8B5A0E6}">
  <sheetPr codeName="Sheet12">
    <tabColor rgb="FFFF0000"/>
  </sheetPr>
  <dimension ref="B2:O2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21" sqref="F6:F21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19921875" style="38" customWidth="1"/>
    <col min="10" max="10" width="18.3984375" style="38" customWidth="1"/>
    <col min="11" max="11" width="57.59765625" style="39" customWidth="1"/>
    <col min="12" max="12" width="17.0976562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317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9.25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3" t="s">
        <v>202</v>
      </c>
      <c r="N4" s="153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4"/>
      <c r="N5" s="154"/>
      <c r="O5" s="79"/>
    </row>
    <row r="6" spans="2:15" ht="48" x14ac:dyDescent="0.4">
      <c r="B6" s="152" t="s">
        <v>216</v>
      </c>
      <c r="C6" s="152" t="s">
        <v>141</v>
      </c>
      <c r="D6" s="40"/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/>
      <c r="N6" s="109"/>
      <c r="O6" s="77"/>
    </row>
    <row r="7" spans="2:15" ht="48.75" customHeight="1" x14ac:dyDescent="0.4">
      <c r="B7" s="152"/>
      <c r="C7" s="152"/>
      <c r="D7" s="40"/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/>
      <c r="N7" s="109"/>
      <c r="O7" s="77"/>
    </row>
    <row r="8" spans="2:15" ht="22.5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/>
      <c r="N8" s="109"/>
      <c r="O8" s="78"/>
    </row>
    <row r="9" spans="2:15" ht="24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/>
      <c r="N9" s="109"/>
      <c r="O9" s="78"/>
    </row>
    <row r="10" spans="2:15" ht="65.25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/>
      <c r="N10" s="109"/>
      <c r="O10" s="78"/>
    </row>
    <row r="11" spans="2:15" ht="24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/>
      <c r="N11" s="109"/>
      <c r="O11" s="78"/>
    </row>
    <row r="12" spans="2:15" ht="72" x14ac:dyDescent="0.4">
      <c r="B12" s="152"/>
      <c r="C12" s="152"/>
      <c r="D12" s="66"/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154</v>
      </c>
      <c r="L12" s="40" t="s">
        <v>38</v>
      </c>
      <c r="M12" s="108"/>
      <c r="N12" s="109"/>
      <c r="O12" s="78"/>
    </row>
    <row r="13" spans="2:15" ht="36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/>
      <c r="N13" s="109"/>
      <c r="O13" s="78"/>
    </row>
    <row r="14" spans="2:15" ht="48" x14ac:dyDescent="0.4">
      <c r="B14" s="152"/>
      <c r="C14" s="152"/>
      <c r="D14" s="66"/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/>
      <c r="N14" s="109"/>
      <c r="O14" s="78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33</v>
      </c>
      <c r="K15" s="67" t="s">
        <v>259</v>
      </c>
      <c r="L15" s="80" t="s">
        <v>21</v>
      </c>
      <c r="M15" s="108"/>
      <c r="N15" s="109"/>
      <c r="O15" s="78"/>
    </row>
    <row r="16" spans="2:15" ht="45.75" customHeight="1" x14ac:dyDescent="0.4">
      <c r="B16" s="152" t="s">
        <v>204</v>
      </c>
      <c r="C16" s="152" t="s">
        <v>40</v>
      </c>
      <c r="D16" s="66"/>
      <c r="E16" s="66" t="s">
        <v>107</v>
      </c>
      <c r="F16" s="62" t="s">
        <v>107</v>
      </c>
      <c r="G16" s="66" t="s">
        <v>107</v>
      </c>
      <c r="H16" s="66" t="s">
        <v>32</v>
      </c>
      <c r="I16" s="66" t="s">
        <v>235</v>
      </c>
      <c r="J16" s="66" t="s">
        <v>175</v>
      </c>
      <c r="K16" s="67" t="s">
        <v>174</v>
      </c>
      <c r="L16" s="80" t="s">
        <v>21</v>
      </c>
      <c r="M16" s="108"/>
      <c r="N16" s="109"/>
      <c r="O16" s="78"/>
    </row>
    <row r="17" spans="2:15" ht="72.75" customHeight="1" x14ac:dyDescent="0.4">
      <c r="B17" s="152"/>
      <c r="C17" s="152"/>
      <c r="D17" s="66"/>
      <c r="E17" s="66" t="s">
        <v>107</v>
      </c>
      <c r="F17" s="62" t="s">
        <v>107</v>
      </c>
      <c r="G17" s="66" t="s">
        <v>107</v>
      </c>
      <c r="H17" s="66" t="s">
        <v>32</v>
      </c>
      <c r="I17" s="66" t="s">
        <v>49</v>
      </c>
      <c r="J17" s="66" t="s">
        <v>137</v>
      </c>
      <c r="K17" s="67" t="s">
        <v>277</v>
      </c>
      <c r="L17" s="40" t="s">
        <v>245</v>
      </c>
      <c r="M17" s="108"/>
      <c r="N17" s="109"/>
      <c r="O17" s="78"/>
    </row>
    <row r="18" spans="2:15" ht="45.75" customHeight="1" x14ac:dyDescent="0.4">
      <c r="B18" s="152"/>
      <c r="C18" s="152"/>
      <c r="D18" s="66"/>
      <c r="E18" s="66" t="s">
        <v>107</v>
      </c>
      <c r="F18" s="62" t="s">
        <v>107</v>
      </c>
      <c r="G18" s="66" t="s">
        <v>107</v>
      </c>
      <c r="H18" s="66" t="s">
        <v>32</v>
      </c>
      <c r="I18" s="40" t="s">
        <v>158</v>
      </c>
      <c r="J18" s="40" t="s">
        <v>159</v>
      </c>
      <c r="K18" s="67" t="s">
        <v>238</v>
      </c>
      <c r="L18" s="80" t="s">
        <v>21</v>
      </c>
      <c r="M18" s="108"/>
      <c r="N18" s="109"/>
      <c r="O18" s="78"/>
    </row>
    <row r="19" spans="2:15" ht="60.75" customHeight="1" x14ac:dyDescent="0.4">
      <c r="B19" s="152"/>
      <c r="C19" s="152"/>
      <c r="D19" s="66"/>
      <c r="E19" s="66" t="s">
        <v>107</v>
      </c>
      <c r="F19" s="62" t="s">
        <v>107</v>
      </c>
      <c r="G19" s="66" t="s">
        <v>107</v>
      </c>
      <c r="H19" s="66" t="s">
        <v>32</v>
      </c>
      <c r="I19" s="40" t="s">
        <v>240</v>
      </c>
      <c r="J19" s="40" t="s">
        <v>239</v>
      </c>
      <c r="K19" s="67" t="s">
        <v>242</v>
      </c>
      <c r="L19" s="80" t="s">
        <v>21</v>
      </c>
      <c r="M19" s="108"/>
      <c r="N19" s="109"/>
      <c r="O19" s="78"/>
    </row>
    <row r="20" spans="2:15" ht="110.25" customHeight="1" x14ac:dyDescent="0.4">
      <c r="B20" s="152"/>
      <c r="C20" s="152"/>
      <c r="D20" s="66"/>
      <c r="E20" s="66" t="s">
        <v>107</v>
      </c>
      <c r="F20" s="62" t="s">
        <v>107</v>
      </c>
      <c r="G20" s="66" t="s">
        <v>107</v>
      </c>
      <c r="H20" s="66" t="s">
        <v>32</v>
      </c>
      <c r="I20" s="40" t="s">
        <v>243</v>
      </c>
      <c r="J20" s="40" t="s">
        <v>237</v>
      </c>
      <c r="K20" s="67" t="s">
        <v>244</v>
      </c>
      <c r="L20" s="80" t="s">
        <v>21</v>
      </c>
      <c r="M20" s="108"/>
      <c r="N20" s="109"/>
      <c r="O20" s="78"/>
    </row>
    <row r="21" spans="2:15" ht="48" x14ac:dyDescent="0.4">
      <c r="B21" s="152"/>
      <c r="C21" s="152"/>
      <c r="D21" s="66"/>
      <c r="E21" s="66" t="s">
        <v>107</v>
      </c>
      <c r="F21" s="62" t="s">
        <v>107</v>
      </c>
      <c r="G21" s="66"/>
      <c r="H21" s="66" t="s">
        <v>27</v>
      </c>
      <c r="I21" s="40" t="s">
        <v>248</v>
      </c>
      <c r="J21" s="40" t="s">
        <v>247</v>
      </c>
      <c r="K21" s="67" t="s">
        <v>138</v>
      </c>
      <c r="L21" s="40" t="s">
        <v>249</v>
      </c>
      <c r="M21" s="108"/>
      <c r="N21" s="109"/>
      <c r="O21" s="78"/>
    </row>
    <row r="24" spans="2:15" x14ac:dyDescent="0.4">
      <c r="O24" s="83"/>
    </row>
    <row r="25" spans="2:15" x14ac:dyDescent="0.4">
      <c r="O25" s="83"/>
    </row>
  </sheetData>
  <mergeCells count="16">
    <mergeCell ref="C16:C21"/>
    <mergeCell ref="M4:M5"/>
    <mergeCell ref="N4:N5"/>
    <mergeCell ref="B6:B15"/>
    <mergeCell ref="C6:C15"/>
    <mergeCell ref="B16:B21"/>
    <mergeCell ref="B2:O2"/>
    <mergeCell ref="B4:B5"/>
    <mergeCell ref="C4:C5"/>
    <mergeCell ref="D4:D5"/>
    <mergeCell ref="E4:G4"/>
    <mergeCell ref="H4:H5"/>
    <mergeCell ref="I4:I5"/>
    <mergeCell ref="J4:J5"/>
    <mergeCell ref="K4:K5"/>
    <mergeCell ref="L4:L5"/>
  </mergeCells>
  <phoneticPr fontId="3" type="noConversion"/>
  <conditionalFormatting sqref="N6">
    <cfRule type="containsText" dxfId="79" priority="17" operator="containsText" text="부적정">
      <formula>NOT(ISERROR(SEARCH("부적정",N6)))</formula>
    </cfRule>
    <cfRule type="containsText" dxfId="78" priority="18" operator="containsText" text="보통">
      <formula>NOT(ISERROR(SEARCH("보통",N6)))</formula>
    </cfRule>
    <cfRule type="containsText" dxfId="77" priority="19" operator="containsText" text="적정">
      <formula>NOT(ISERROR(SEARCH("적정",N6)))</formula>
    </cfRule>
    <cfRule type="containsText" dxfId="76" priority="20" operator="containsText" text="우수">
      <formula>NOT(ISERROR(SEARCH("우수",N6)))</formula>
    </cfRule>
  </conditionalFormatting>
  <conditionalFormatting sqref="M6">
    <cfRule type="containsText" dxfId="75" priority="13" operator="containsText" text="부적정">
      <formula>NOT(ISERROR(SEARCH("부적정",M6)))</formula>
    </cfRule>
    <cfRule type="containsText" dxfId="74" priority="14" operator="containsText" text="보통">
      <formula>NOT(ISERROR(SEARCH("보통",M6)))</formula>
    </cfRule>
    <cfRule type="containsText" dxfId="73" priority="15" operator="containsText" text="적정">
      <formula>NOT(ISERROR(SEARCH("적정",M6)))</formula>
    </cfRule>
    <cfRule type="containsText" dxfId="72" priority="16" operator="containsText" text="우수">
      <formula>NOT(ISERROR(SEARCH("우수",M6)))</formula>
    </cfRule>
  </conditionalFormatting>
  <conditionalFormatting sqref="N7:N21">
    <cfRule type="containsText" dxfId="71" priority="9" operator="containsText" text="부적정">
      <formula>NOT(ISERROR(SEARCH("부적정",N7)))</formula>
    </cfRule>
    <cfRule type="containsText" dxfId="70" priority="10" operator="containsText" text="보통">
      <formula>NOT(ISERROR(SEARCH("보통",N7)))</formula>
    </cfRule>
    <cfRule type="containsText" dxfId="69" priority="11" operator="containsText" text="적정">
      <formula>NOT(ISERROR(SEARCH("적정",N7)))</formula>
    </cfRule>
    <cfRule type="containsText" dxfId="68" priority="12" operator="containsText" text="우수">
      <formula>NOT(ISERROR(SEARCH("우수",N7)))</formula>
    </cfRule>
  </conditionalFormatting>
  <conditionalFormatting sqref="M7:M21">
    <cfRule type="containsText" dxfId="67" priority="5" operator="containsText" text="부적정">
      <formula>NOT(ISERROR(SEARCH("부적정",M7)))</formula>
    </cfRule>
    <cfRule type="containsText" dxfId="66" priority="6" operator="containsText" text="보통">
      <formula>NOT(ISERROR(SEARCH("보통",M7)))</formula>
    </cfRule>
    <cfRule type="containsText" dxfId="65" priority="7" operator="containsText" text="적정">
      <formula>NOT(ISERROR(SEARCH("적정",M7)))</formula>
    </cfRule>
    <cfRule type="containsText" dxfId="64" priority="8" operator="containsText" text="우수">
      <formula>NOT(ISERROR(SEARCH("우수",M7)))</formula>
    </cfRule>
  </conditionalFormatting>
  <conditionalFormatting sqref="O4">
    <cfRule type="containsText" dxfId="63" priority="1" operator="containsText" text="부적정">
      <formula>NOT(ISERROR(SEARCH("부적정",O4)))</formula>
    </cfRule>
    <cfRule type="containsText" dxfId="62" priority="2" operator="containsText" text="보통">
      <formula>NOT(ISERROR(SEARCH("보통",O4)))</formula>
    </cfRule>
    <cfRule type="containsText" dxfId="61" priority="3" operator="containsText" text="적정">
      <formula>NOT(ISERROR(SEARCH("적정",O4)))</formula>
    </cfRule>
    <cfRule type="containsText" dxfId="60" priority="4" operator="containsText" text="우수">
      <formula>NOT(ISERROR(SEARCH("우수",O4)))</formula>
    </cfRule>
  </conditionalFormatting>
  <dataValidations count="1">
    <dataValidation type="list" allowBlank="1" showInputMessage="1" showErrorMessage="1" sqref="M6:M21" xr:uid="{9BC93F22-5F82-45E4-99F5-58C078887595}">
      <formula1>"BP 공유수준,문제없음,개선필요,N/A"</formula1>
    </dataValidation>
  </dataValidations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BCA8-1B55-46BF-8B96-6C972E26E707}">
  <sheetPr codeName="Sheet13">
    <tabColor rgb="FFFF0000"/>
  </sheetPr>
  <dimension ref="B2:O25"/>
  <sheetViews>
    <sheetView workbookViewId="0">
      <pane xSplit="1" ySplit="5" topLeftCell="B11" activePane="bottomRight" state="frozen"/>
      <selection pane="topRight" activeCell="B1" sqref="B1"/>
      <selection pane="bottomLeft" activeCell="A6" sqref="A6"/>
      <selection pane="bottomRight" activeCell="F6" sqref="F6:F20"/>
    </sheetView>
  </sheetViews>
  <sheetFormatPr defaultColWidth="9" defaultRowHeight="17.399999999999999" x14ac:dyDescent="0.4"/>
  <cols>
    <col min="1" max="1" width="2" style="38" customWidth="1"/>
    <col min="2" max="2" width="4.3984375" style="38" customWidth="1"/>
    <col min="3" max="3" width="5.8984375" style="38" customWidth="1"/>
    <col min="4" max="4" width="5.3984375" style="38" customWidth="1"/>
    <col min="5" max="5" width="6.69921875" style="38" customWidth="1"/>
    <col min="6" max="7" width="5.8984375" style="38" customWidth="1"/>
    <col min="8" max="8" width="7" style="38" customWidth="1"/>
    <col min="9" max="9" width="13.19921875" style="38" customWidth="1"/>
    <col min="10" max="10" width="18.3984375" style="38" customWidth="1"/>
    <col min="11" max="11" width="57.59765625" style="39" customWidth="1"/>
    <col min="12" max="12" width="17.09765625" style="39" customWidth="1"/>
    <col min="13" max="13" width="9.09765625" style="38" customWidth="1"/>
    <col min="14" max="14" width="28.59765625" customWidth="1"/>
    <col min="15" max="15" width="19.59765625" style="38" customWidth="1"/>
    <col min="16" max="16384" width="9" style="38"/>
  </cols>
  <sheetData>
    <row r="2" spans="2:15" ht="19.2" customHeight="1" x14ac:dyDescent="0.4">
      <c r="B2" s="150" t="s">
        <v>318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</row>
    <row r="3" spans="2:15" ht="12" x14ac:dyDescent="0.4">
      <c r="N3" s="38"/>
    </row>
    <row r="4" spans="2:15" ht="29.25" customHeight="1" x14ac:dyDescent="0.4">
      <c r="B4" s="153" t="s">
        <v>22</v>
      </c>
      <c r="C4" s="153" t="s">
        <v>23</v>
      </c>
      <c r="D4" s="153" t="s">
        <v>162</v>
      </c>
      <c r="E4" s="157" t="s">
        <v>200</v>
      </c>
      <c r="F4" s="158"/>
      <c r="G4" s="159"/>
      <c r="H4" s="153" t="s">
        <v>24</v>
      </c>
      <c r="I4" s="153" t="s">
        <v>25</v>
      </c>
      <c r="J4" s="153" t="s">
        <v>26</v>
      </c>
      <c r="K4" s="153" t="s">
        <v>197</v>
      </c>
      <c r="L4" s="153" t="s">
        <v>176</v>
      </c>
      <c r="M4" s="153" t="s">
        <v>202</v>
      </c>
      <c r="N4" s="153" t="s">
        <v>192</v>
      </c>
      <c r="O4" s="109"/>
    </row>
    <row r="5" spans="2:15" ht="22.5" customHeight="1" x14ac:dyDescent="0.4">
      <c r="B5" s="154"/>
      <c r="C5" s="154"/>
      <c r="D5" s="154"/>
      <c r="E5" s="73" t="s">
        <v>198</v>
      </c>
      <c r="F5" s="73" t="s">
        <v>199</v>
      </c>
      <c r="G5" s="73" t="s">
        <v>201</v>
      </c>
      <c r="H5" s="154"/>
      <c r="I5" s="154"/>
      <c r="J5" s="154"/>
      <c r="K5" s="154"/>
      <c r="L5" s="154"/>
      <c r="M5" s="154"/>
      <c r="N5" s="154"/>
      <c r="O5" s="79"/>
    </row>
    <row r="6" spans="2:15" ht="48" x14ac:dyDescent="0.4">
      <c r="B6" s="152" t="s">
        <v>216</v>
      </c>
      <c r="C6" s="152" t="s">
        <v>141</v>
      </c>
      <c r="D6" s="40" t="s">
        <v>107</v>
      </c>
      <c r="E6" s="40" t="s">
        <v>107</v>
      </c>
      <c r="F6" s="62" t="s">
        <v>107</v>
      </c>
      <c r="G6" s="40" t="s">
        <v>107</v>
      </c>
      <c r="H6" s="40" t="s">
        <v>27</v>
      </c>
      <c r="I6" s="40" t="s">
        <v>287</v>
      </c>
      <c r="J6" s="40" t="s">
        <v>34</v>
      </c>
      <c r="K6" s="67" t="s">
        <v>261</v>
      </c>
      <c r="L6" s="40" t="s">
        <v>257</v>
      </c>
      <c r="M6" s="108"/>
      <c r="N6" s="109"/>
      <c r="O6" s="77"/>
    </row>
    <row r="7" spans="2:15" ht="48.75" customHeight="1" x14ac:dyDescent="0.4">
      <c r="B7" s="152"/>
      <c r="C7" s="152"/>
      <c r="D7" s="40" t="s">
        <v>107</v>
      </c>
      <c r="E7" s="40" t="s">
        <v>107</v>
      </c>
      <c r="F7" s="62" t="s">
        <v>107</v>
      </c>
      <c r="G7" s="40" t="s">
        <v>107</v>
      </c>
      <c r="H7" s="40" t="s">
        <v>27</v>
      </c>
      <c r="I7" s="40" t="s">
        <v>287</v>
      </c>
      <c r="J7" s="40" t="s">
        <v>205</v>
      </c>
      <c r="K7" s="67" t="s">
        <v>206</v>
      </c>
      <c r="L7" s="80" t="s">
        <v>21</v>
      </c>
      <c r="M7" s="108"/>
      <c r="N7" s="109"/>
      <c r="O7" s="77"/>
    </row>
    <row r="8" spans="2:15" ht="22.5" customHeight="1" x14ac:dyDescent="0.4">
      <c r="B8" s="152"/>
      <c r="C8" s="152"/>
      <c r="D8" s="40"/>
      <c r="E8" s="66" t="s">
        <v>107</v>
      </c>
      <c r="F8" s="62" t="s">
        <v>107</v>
      </c>
      <c r="G8" s="66"/>
      <c r="H8" s="66" t="s">
        <v>258</v>
      </c>
      <c r="I8" s="40" t="s">
        <v>278</v>
      </c>
      <c r="J8" s="40" t="s">
        <v>205</v>
      </c>
      <c r="K8" s="67" t="s">
        <v>207</v>
      </c>
      <c r="L8" s="40" t="s">
        <v>98</v>
      </c>
      <c r="M8" s="108"/>
      <c r="N8" s="109"/>
      <c r="O8" s="78"/>
    </row>
    <row r="9" spans="2:15" ht="24" x14ac:dyDescent="0.4">
      <c r="B9" s="152"/>
      <c r="C9" s="152"/>
      <c r="D9" s="66"/>
      <c r="E9" s="66" t="s">
        <v>107</v>
      </c>
      <c r="F9" s="62" t="s">
        <v>107</v>
      </c>
      <c r="G9" s="66" t="s">
        <v>107</v>
      </c>
      <c r="H9" s="66" t="s">
        <v>29</v>
      </c>
      <c r="I9" s="40" t="s">
        <v>279</v>
      </c>
      <c r="J9" s="40" t="s">
        <v>212</v>
      </c>
      <c r="K9" s="67" t="s">
        <v>210</v>
      </c>
      <c r="L9" s="40" t="s">
        <v>208</v>
      </c>
      <c r="M9" s="108"/>
      <c r="N9" s="109"/>
      <c r="O9" s="78"/>
    </row>
    <row r="10" spans="2:15" ht="65.25" customHeight="1" x14ac:dyDescent="0.4">
      <c r="B10" s="152"/>
      <c r="C10" s="152"/>
      <c r="D10" s="66"/>
      <c r="E10" s="66" t="s">
        <v>107</v>
      </c>
      <c r="F10" s="62" t="s">
        <v>107</v>
      </c>
      <c r="G10" s="66"/>
      <c r="H10" s="40" t="s">
        <v>31</v>
      </c>
      <c r="I10" s="40" t="s">
        <v>281</v>
      </c>
      <c r="J10" s="40" t="s">
        <v>213</v>
      </c>
      <c r="K10" s="67" t="s">
        <v>102</v>
      </c>
      <c r="L10" s="80" t="s">
        <v>21</v>
      </c>
      <c r="M10" s="108"/>
      <c r="N10" s="109"/>
      <c r="O10" s="78"/>
    </row>
    <row r="11" spans="2:15" ht="24" x14ac:dyDescent="0.4">
      <c r="B11" s="152"/>
      <c r="C11" s="152"/>
      <c r="D11" s="66"/>
      <c r="E11" s="66" t="s">
        <v>107</v>
      </c>
      <c r="F11" s="62" t="s">
        <v>107</v>
      </c>
      <c r="G11" s="66"/>
      <c r="H11" s="40" t="s">
        <v>31</v>
      </c>
      <c r="I11" s="40" t="s">
        <v>280</v>
      </c>
      <c r="J11" s="40" t="s">
        <v>153</v>
      </c>
      <c r="K11" s="67" t="s">
        <v>203</v>
      </c>
      <c r="L11" s="80" t="s">
        <v>21</v>
      </c>
      <c r="M11" s="108"/>
      <c r="N11" s="109"/>
      <c r="O11" s="78"/>
    </row>
    <row r="12" spans="2:15" ht="72" x14ac:dyDescent="0.4">
      <c r="B12" s="152"/>
      <c r="C12" s="152"/>
      <c r="D12" s="66" t="s">
        <v>107</v>
      </c>
      <c r="E12" s="66" t="s">
        <v>107</v>
      </c>
      <c r="F12" s="62" t="s">
        <v>107</v>
      </c>
      <c r="G12" s="66" t="s">
        <v>107</v>
      </c>
      <c r="H12" s="66" t="s">
        <v>270</v>
      </c>
      <c r="I12" s="40" t="s">
        <v>37</v>
      </c>
      <c r="J12" s="40" t="s">
        <v>36</v>
      </c>
      <c r="K12" s="67" t="s">
        <v>154</v>
      </c>
      <c r="L12" s="40" t="s">
        <v>38</v>
      </c>
      <c r="M12" s="108"/>
      <c r="N12" s="109"/>
      <c r="O12" s="78"/>
    </row>
    <row r="13" spans="2:15" ht="36" x14ac:dyDescent="0.4">
      <c r="B13" s="152"/>
      <c r="C13" s="152"/>
      <c r="D13" s="66"/>
      <c r="E13" s="66" t="s">
        <v>107</v>
      </c>
      <c r="F13" s="62" t="s">
        <v>107</v>
      </c>
      <c r="G13" s="66"/>
      <c r="H13" s="66" t="s">
        <v>271</v>
      </c>
      <c r="I13" s="40" t="s">
        <v>151</v>
      </c>
      <c r="J13" s="40" t="s">
        <v>152</v>
      </c>
      <c r="K13" s="67" t="s">
        <v>214</v>
      </c>
      <c r="L13" s="80" t="s">
        <v>21</v>
      </c>
      <c r="M13" s="108"/>
      <c r="N13" s="109"/>
      <c r="O13" s="78"/>
    </row>
    <row r="14" spans="2:15" ht="48" x14ac:dyDescent="0.4">
      <c r="B14" s="152"/>
      <c r="C14" s="152"/>
      <c r="D14" s="66" t="s">
        <v>107</v>
      </c>
      <c r="E14" s="66" t="s">
        <v>107</v>
      </c>
      <c r="F14" s="62" t="s">
        <v>107</v>
      </c>
      <c r="G14" s="66" t="s">
        <v>107</v>
      </c>
      <c r="H14" s="66" t="s">
        <v>271</v>
      </c>
      <c r="I14" s="40" t="s">
        <v>101</v>
      </c>
      <c r="J14" s="40" t="s">
        <v>218</v>
      </c>
      <c r="K14" s="67" t="s">
        <v>219</v>
      </c>
      <c r="L14" s="80" t="s">
        <v>21</v>
      </c>
      <c r="M14" s="108"/>
      <c r="N14" s="109"/>
      <c r="O14" s="78"/>
    </row>
    <row r="15" spans="2:15" ht="33.75" customHeight="1" x14ac:dyDescent="0.4">
      <c r="B15" s="152"/>
      <c r="C15" s="152"/>
      <c r="D15" s="66"/>
      <c r="E15" s="66" t="s">
        <v>107</v>
      </c>
      <c r="F15" s="62" t="s">
        <v>107</v>
      </c>
      <c r="G15" s="66" t="s">
        <v>107</v>
      </c>
      <c r="H15" s="66" t="s">
        <v>31</v>
      </c>
      <c r="I15" s="40" t="s">
        <v>282</v>
      </c>
      <c r="J15" s="40" t="s">
        <v>33</v>
      </c>
      <c r="K15" s="67" t="s">
        <v>259</v>
      </c>
      <c r="L15" s="80" t="s">
        <v>21</v>
      </c>
      <c r="M15" s="108"/>
      <c r="N15" s="109"/>
      <c r="O15" s="78"/>
    </row>
    <row r="16" spans="2:15" ht="48.75" customHeight="1" x14ac:dyDescent="0.4">
      <c r="B16" s="152" t="s">
        <v>204</v>
      </c>
      <c r="C16" s="152" t="s">
        <v>255</v>
      </c>
      <c r="D16" s="66"/>
      <c r="E16" s="66" t="s">
        <v>107</v>
      </c>
      <c r="F16" s="62" t="s">
        <v>107</v>
      </c>
      <c r="G16" s="66"/>
      <c r="H16" s="66" t="s">
        <v>27</v>
      </c>
      <c r="I16" s="40" t="s">
        <v>51</v>
      </c>
      <c r="J16" s="40" t="s">
        <v>241</v>
      </c>
      <c r="K16" s="67" t="s">
        <v>250</v>
      </c>
      <c r="L16" s="80" t="s">
        <v>21</v>
      </c>
      <c r="M16" s="108"/>
      <c r="N16" s="109"/>
      <c r="O16" s="78"/>
    </row>
    <row r="17" spans="2:15" ht="34.5" customHeight="1" x14ac:dyDescent="0.4">
      <c r="B17" s="152"/>
      <c r="C17" s="152"/>
      <c r="D17" s="66" t="s">
        <v>107</v>
      </c>
      <c r="E17" s="66" t="s">
        <v>107</v>
      </c>
      <c r="F17" s="62" t="s">
        <v>107</v>
      </c>
      <c r="G17" s="66" t="s">
        <v>107</v>
      </c>
      <c r="H17" s="66" t="s">
        <v>32</v>
      </c>
      <c r="I17" s="40" t="s">
        <v>246</v>
      </c>
      <c r="J17" s="40" t="s">
        <v>236</v>
      </c>
      <c r="K17" s="67" t="s">
        <v>252</v>
      </c>
      <c r="L17" s="80" t="s">
        <v>21</v>
      </c>
      <c r="M17" s="108"/>
      <c r="N17" s="109"/>
      <c r="O17" s="78"/>
    </row>
    <row r="18" spans="2:15" ht="42" customHeight="1" x14ac:dyDescent="0.4">
      <c r="B18" s="152"/>
      <c r="C18" s="152"/>
      <c r="D18" s="66"/>
      <c r="E18" s="66" t="s">
        <v>107</v>
      </c>
      <c r="F18" s="62"/>
      <c r="G18" s="66"/>
      <c r="H18" s="66" t="s">
        <v>32</v>
      </c>
      <c r="I18" s="40" t="s">
        <v>171</v>
      </c>
      <c r="J18" s="40" t="s">
        <v>172</v>
      </c>
      <c r="K18" s="67" t="s">
        <v>173</v>
      </c>
      <c r="L18" s="80" t="s">
        <v>21</v>
      </c>
      <c r="M18" s="108"/>
      <c r="N18" s="109"/>
      <c r="O18" s="78"/>
    </row>
    <row r="19" spans="2:15" ht="54.75" customHeight="1" x14ac:dyDescent="0.4">
      <c r="B19" s="152"/>
      <c r="C19" s="152"/>
      <c r="D19" s="66"/>
      <c r="E19" s="66" t="s">
        <v>107</v>
      </c>
      <c r="F19" s="62" t="s">
        <v>107</v>
      </c>
      <c r="G19" s="66" t="s">
        <v>107</v>
      </c>
      <c r="H19" s="66" t="s">
        <v>27</v>
      </c>
      <c r="I19" s="40" t="s">
        <v>52</v>
      </c>
      <c r="J19" s="40" t="s">
        <v>253</v>
      </c>
      <c r="K19" s="67" t="s">
        <v>254</v>
      </c>
      <c r="L19" s="40" t="s">
        <v>139</v>
      </c>
      <c r="M19" s="108"/>
      <c r="N19" s="109"/>
      <c r="O19" s="78"/>
    </row>
    <row r="20" spans="2:15" ht="24" x14ac:dyDescent="0.4">
      <c r="B20" s="152"/>
      <c r="C20" s="152"/>
      <c r="D20" s="66"/>
      <c r="E20" s="66" t="s">
        <v>107</v>
      </c>
      <c r="F20" s="62" t="s">
        <v>107</v>
      </c>
      <c r="G20" s="66"/>
      <c r="H20" s="66" t="s">
        <v>271</v>
      </c>
      <c r="I20" s="40" t="s">
        <v>256</v>
      </c>
      <c r="J20" s="40" t="s">
        <v>306</v>
      </c>
      <c r="K20" s="67" t="s">
        <v>305</v>
      </c>
      <c r="L20" s="80" t="s">
        <v>21</v>
      </c>
      <c r="M20" s="108"/>
      <c r="N20" s="109"/>
      <c r="O20" s="78"/>
    </row>
    <row r="24" spans="2:15" x14ac:dyDescent="0.4">
      <c r="O24" s="83"/>
    </row>
    <row r="25" spans="2:15" x14ac:dyDescent="0.4">
      <c r="O25" s="83">
        <v>1</v>
      </c>
    </row>
  </sheetData>
  <mergeCells count="16">
    <mergeCell ref="C16:C20"/>
    <mergeCell ref="M4:M5"/>
    <mergeCell ref="N4:N5"/>
    <mergeCell ref="B6:B15"/>
    <mergeCell ref="C6:C15"/>
    <mergeCell ref="B16:B20"/>
    <mergeCell ref="B2:O2"/>
    <mergeCell ref="B4:B5"/>
    <mergeCell ref="C4:C5"/>
    <mergeCell ref="D4:D5"/>
    <mergeCell ref="E4:G4"/>
    <mergeCell ref="H4:H5"/>
    <mergeCell ref="I4:I5"/>
    <mergeCell ref="J4:J5"/>
    <mergeCell ref="K4:K5"/>
    <mergeCell ref="L4:L5"/>
  </mergeCells>
  <phoneticPr fontId="3" type="noConversion"/>
  <conditionalFormatting sqref="N12">
    <cfRule type="containsText" dxfId="59" priority="25" operator="containsText" text="부적정">
      <formula>NOT(ISERROR(SEARCH("부적정",N12)))</formula>
    </cfRule>
    <cfRule type="containsText" dxfId="58" priority="26" operator="containsText" text="보통">
      <formula>NOT(ISERROR(SEARCH("보통",N12)))</formula>
    </cfRule>
    <cfRule type="containsText" dxfId="57" priority="27" operator="containsText" text="적정">
      <formula>NOT(ISERROR(SEARCH("적정",N12)))</formula>
    </cfRule>
    <cfRule type="containsText" dxfId="56" priority="28" operator="containsText" text="우수">
      <formula>NOT(ISERROR(SEARCH("우수",N12)))</formula>
    </cfRule>
  </conditionalFormatting>
  <conditionalFormatting sqref="M12">
    <cfRule type="containsText" dxfId="55" priority="21" operator="containsText" text="부적정">
      <formula>NOT(ISERROR(SEARCH("부적정",M12)))</formula>
    </cfRule>
    <cfRule type="containsText" dxfId="54" priority="22" operator="containsText" text="보통">
      <formula>NOT(ISERROR(SEARCH("보통",M12)))</formula>
    </cfRule>
    <cfRule type="containsText" dxfId="53" priority="23" operator="containsText" text="적정">
      <formula>NOT(ISERROR(SEARCH("적정",M12)))</formula>
    </cfRule>
    <cfRule type="containsText" dxfId="52" priority="24" operator="containsText" text="우수">
      <formula>NOT(ISERROR(SEARCH("우수",M12)))</formula>
    </cfRule>
  </conditionalFormatting>
  <conditionalFormatting sqref="N6:N11">
    <cfRule type="containsText" dxfId="51" priority="17" operator="containsText" text="부적정">
      <formula>NOT(ISERROR(SEARCH("부적정",N6)))</formula>
    </cfRule>
    <cfRule type="containsText" dxfId="50" priority="18" operator="containsText" text="보통">
      <formula>NOT(ISERROR(SEARCH("보통",N6)))</formula>
    </cfRule>
    <cfRule type="containsText" dxfId="49" priority="19" operator="containsText" text="적정">
      <formula>NOT(ISERROR(SEARCH("적정",N6)))</formula>
    </cfRule>
    <cfRule type="containsText" dxfId="48" priority="20" operator="containsText" text="우수">
      <formula>NOT(ISERROR(SEARCH("우수",N6)))</formula>
    </cfRule>
  </conditionalFormatting>
  <conditionalFormatting sqref="N13:N20">
    <cfRule type="containsText" dxfId="47" priority="13" operator="containsText" text="부적정">
      <formula>NOT(ISERROR(SEARCH("부적정",N13)))</formula>
    </cfRule>
    <cfRule type="containsText" dxfId="46" priority="14" operator="containsText" text="보통">
      <formula>NOT(ISERROR(SEARCH("보통",N13)))</formula>
    </cfRule>
    <cfRule type="containsText" dxfId="45" priority="15" operator="containsText" text="적정">
      <formula>NOT(ISERROR(SEARCH("적정",N13)))</formula>
    </cfRule>
    <cfRule type="containsText" dxfId="44" priority="16" operator="containsText" text="우수">
      <formula>NOT(ISERROR(SEARCH("우수",N13)))</formula>
    </cfRule>
  </conditionalFormatting>
  <conditionalFormatting sqref="M6:M11">
    <cfRule type="containsText" dxfId="43" priority="9" operator="containsText" text="부적정">
      <formula>NOT(ISERROR(SEARCH("부적정",M6)))</formula>
    </cfRule>
    <cfRule type="containsText" dxfId="42" priority="10" operator="containsText" text="보통">
      <formula>NOT(ISERROR(SEARCH("보통",M6)))</formula>
    </cfRule>
    <cfRule type="containsText" dxfId="41" priority="11" operator="containsText" text="적정">
      <formula>NOT(ISERROR(SEARCH("적정",M6)))</formula>
    </cfRule>
    <cfRule type="containsText" dxfId="40" priority="12" operator="containsText" text="우수">
      <formula>NOT(ISERROR(SEARCH("우수",M6)))</formula>
    </cfRule>
  </conditionalFormatting>
  <conditionalFormatting sqref="M13:M20">
    <cfRule type="containsText" dxfId="39" priority="5" operator="containsText" text="부적정">
      <formula>NOT(ISERROR(SEARCH("부적정",M13)))</formula>
    </cfRule>
    <cfRule type="containsText" dxfId="38" priority="6" operator="containsText" text="보통">
      <formula>NOT(ISERROR(SEARCH("보통",M13)))</formula>
    </cfRule>
    <cfRule type="containsText" dxfId="37" priority="7" operator="containsText" text="적정">
      <formula>NOT(ISERROR(SEARCH("적정",M13)))</formula>
    </cfRule>
    <cfRule type="containsText" dxfId="36" priority="8" operator="containsText" text="우수">
      <formula>NOT(ISERROR(SEARCH("우수",M13)))</formula>
    </cfRule>
  </conditionalFormatting>
  <conditionalFormatting sqref="O4">
    <cfRule type="containsText" dxfId="35" priority="1" operator="containsText" text="부적정">
      <formula>NOT(ISERROR(SEARCH("부적정",O4)))</formula>
    </cfRule>
    <cfRule type="containsText" dxfId="34" priority="2" operator="containsText" text="보통">
      <formula>NOT(ISERROR(SEARCH("보통",O4)))</formula>
    </cfRule>
    <cfRule type="containsText" dxfId="33" priority="3" operator="containsText" text="적정">
      <formula>NOT(ISERROR(SEARCH("적정",O4)))</formula>
    </cfRule>
    <cfRule type="containsText" dxfId="32" priority="4" operator="containsText" text="우수">
      <formula>NOT(ISERROR(SEARCH("우수",O4)))</formula>
    </cfRule>
  </conditionalFormatting>
  <dataValidations count="1">
    <dataValidation type="list" allowBlank="1" showInputMessage="1" showErrorMessage="1" sqref="M6:M20" xr:uid="{9797CB5B-D112-4492-99AC-1281CC3B3F0D}">
      <formula1>"BP 공유수준,문제없음,개선필요,N/A"</formula1>
    </dataValidation>
  </dataValidations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현재_통합_문서.점검내역체크">
                <anchor moveWithCells="1">
                  <from>
                    <xdr:col>14</xdr:col>
                    <xdr:colOff>76200</xdr:colOff>
                    <xdr:row>3</xdr:row>
                    <xdr:rowOff>38100</xdr:rowOff>
                  </from>
                  <to>
                    <xdr:col>14</xdr:col>
                    <xdr:colOff>1402080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4B30-5E05-4124-9246-2EF858AC14DD}">
  <sheetPr codeName="Sheet8">
    <tabColor rgb="FFFF0000"/>
  </sheetPr>
  <dimension ref="B2:K29"/>
  <sheetViews>
    <sheetView workbookViewId="0">
      <selection activeCell="E23" sqref="E23"/>
    </sheetView>
  </sheetViews>
  <sheetFormatPr defaultRowHeight="17.399999999999999" x14ac:dyDescent="0.4"/>
  <cols>
    <col min="1" max="1" width="3" customWidth="1"/>
    <col min="3" max="3" width="14.8984375" customWidth="1"/>
    <col min="4" max="4" width="11.8984375" customWidth="1"/>
    <col min="5" max="5" width="43.09765625" customWidth="1"/>
    <col min="6" max="6" width="7.69921875" customWidth="1"/>
    <col min="7" max="7" width="11.69921875" customWidth="1"/>
    <col min="8" max="8" width="10.5" customWidth="1"/>
    <col min="9" max="9" width="34.09765625" customWidth="1"/>
    <col min="10" max="10" width="13.5" customWidth="1"/>
    <col min="11" max="11" width="14" customWidth="1"/>
  </cols>
  <sheetData>
    <row r="2" spans="2:11" x14ac:dyDescent="0.4">
      <c r="B2" s="54" t="s">
        <v>341</v>
      </c>
    </row>
    <row r="3" spans="2:11" s="28" customFormat="1" ht="13.2" x14ac:dyDescent="0.4"/>
    <row r="4" spans="2:11" s="28" customFormat="1" x14ac:dyDescent="0.4">
      <c r="B4" s="160" t="s">
        <v>393</v>
      </c>
      <c r="C4" s="161"/>
      <c r="D4" s="161"/>
      <c r="E4" s="161"/>
    </row>
    <row r="5" spans="2:11" s="28" customFormat="1" x14ac:dyDescent="0.4">
      <c r="B5" s="160" t="s">
        <v>348</v>
      </c>
      <c r="C5" s="161"/>
      <c r="D5" s="161"/>
      <c r="E5" s="161"/>
    </row>
    <row r="6" spans="2:11" s="28" customFormat="1" ht="26.4" x14ac:dyDescent="0.4">
      <c r="B6" s="98" t="s">
        <v>23</v>
      </c>
      <c r="C6" s="99" t="s">
        <v>355</v>
      </c>
      <c r="D6" s="98" t="s">
        <v>334</v>
      </c>
      <c r="E6" s="98" t="s">
        <v>349</v>
      </c>
      <c r="F6" s="98" t="s">
        <v>363</v>
      </c>
      <c r="G6" s="99" t="s">
        <v>350</v>
      </c>
      <c r="H6" s="99" t="s">
        <v>351</v>
      </c>
      <c r="I6" s="98" t="s">
        <v>352</v>
      </c>
      <c r="J6" s="98" t="s">
        <v>353</v>
      </c>
      <c r="K6" s="99" t="s">
        <v>354</v>
      </c>
    </row>
    <row r="7" spans="2:11" s="28" customFormat="1" ht="13.2" x14ac:dyDescent="0.4">
      <c r="B7" s="108"/>
      <c r="C7" s="108"/>
      <c r="D7" s="108"/>
      <c r="E7" s="109"/>
      <c r="F7" s="108"/>
      <c r="G7" s="108"/>
      <c r="H7" s="108"/>
      <c r="I7" s="109"/>
      <c r="J7" s="108"/>
      <c r="K7" s="108"/>
    </row>
    <row r="8" spans="2:11" s="28" customFormat="1" ht="13.2" x14ac:dyDescent="0.4">
      <c r="B8" s="108"/>
      <c r="C8" s="108"/>
      <c r="D8" s="108"/>
      <c r="E8" s="109"/>
      <c r="F8" s="108"/>
      <c r="G8" s="108"/>
      <c r="H8" s="108"/>
      <c r="I8" s="109"/>
      <c r="J8" s="108"/>
      <c r="K8" s="108"/>
    </row>
    <row r="9" spans="2:11" s="28" customFormat="1" ht="13.2" x14ac:dyDescent="0.4">
      <c r="B9" s="108"/>
      <c r="C9" s="108"/>
      <c r="D9" s="108"/>
      <c r="E9" s="109"/>
      <c r="F9" s="108"/>
      <c r="G9" s="108"/>
      <c r="H9" s="108"/>
      <c r="I9" s="109"/>
      <c r="J9" s="108"/>
      <c r="K9" s="108"/>
    </row>
    <row r="10" spans="2:11" s="28" customFormat="1" ht="13.2" x14ac:dyDescent="0.4">
      <c r="B10" s="108"/>
      <c r="C10" s="108"/>
      <c r="D10" s="108"/>
      <c r="E10" s="109"/>
      <c r="F10" s="108"/>
      <c r="G10" s="108"/>
      <c r="H10" s="108"/>
      <c r="I10" s="109"/>
      <c r="J10" s="108"/>
      <c r="K10" s="108"/>
    </row>
    <row r="11" spans="2:11" s="28" customFormat="1" ht="13.2" x14ac:dyDescent="0.4">
      <c r="B11" s="108"/>
      <c r="C11" s="108"/>
      <c r="D11" s="108"/>
      <c r="E11" s="109"/>
      <c r="F11" s="108"/>
      <c r="G11" s="108"/>
      <c r="H11" s="108"/>
      <c r="I11" s="109"/>
      <c r="J11" s="108"/>
      <c r="K11" s="108"/>
    </row>
    <row r="12" spans="2:11" s="28" customFormat="1" ht="13.2" x14ac:dyDescent="0.4">
      <c r="B12" s="44" t="s">
        <v>364</v>
      </c>
    </row>
    <row r="13" spans="2:11" s="28" customFormat="1" ht="13.2" x14ac:dyDescent="0.4">
      <c r="B13" s="100" t="s">
        <v>356</v>
      </c>
    </row>
    <row r="14" spans="2:11" s="28" customFormat="1" ht="13.2" x14ac:dyDescent="0.4"/>
    <row r="15" spans="2:11" s="28" customFormat="1" ht="13.2" x14ac:dyDescent="0.4"/>
    <row r="16" spans="2:11" s="28" customFormat="1" ht="13.2" x14ac:dyDescent="0.4"/>
    <row r="17" s="28" customFormat="1" ht="13.2" x14ac:dyDescent="0.4"/>
    <row r="18" s="28" customFormat="1" ht="13.2" x14ac:dyDescent="0.4"/>
    <row r="19" s="28" customFormat="1" ht="13.2" x14ac:dyDescent="0.4"/>
    <row r="20" s="28" customFormat="1" ht="13.2" x14ac:dyDescent="0.4"/>
    <row r="21" s="28" customFormat="1" ht="13.2" x14ac:dyDescent="0.4"/>
    <row r="22" s="28" customFormat="1" ht="13.2" x14ac:dyDescent="0.4"/>
    <row r="23" s="28" customFormat="1" ht="13.2" x14ac:dyDescent="0.4"/>
    <row r="24" s="28" customFormat="1" ht="13.2" x14ac:dyDescent="0.4"/>
    <row r="25" s="28" customFormat="1" ht="13.2" x14ac:dyDescent="0.4"/>
    <row r="26" s="28" customFormat="1" ht="13.2" x14ac:dyDescent="0.4"/>
    <row r="27" s="28" customFormat="1" ht="13.2" x14ac:dyDescent="0.4"/>
    <row r="28" s="28" customFormat="1" ht="13.2" x14ac:dyDescent="0.4"/>
    <row r="29" s="28" customFormat="1" ht="13.2" x14ac:dyDescent="0.4"/>
  </sheetData>
  <mergeCells count="2">
    <mergeCell ref="B4:E4"/>
    <mergeCell ref="B5:E5"/>
  </mergeCells>
  <phoneticPr fontId="3" type="noConversion"/>
  <conditionalFormatting sqref="B7:K11">
    <cfRule type="containsText" dxfId="31" priority="9" operator="containsText" text="부적정">
      <formula>NOT(ISERROR(SEARCH("부적정",B7)))</formula>
    </cfRule>
    <cfRule type="containsText" dxfId="30" priority="10" operator="containsText" text="보통">
      <formula>NOT(ISERROR(SEARCH("보통",B7)))</formula>
    </cfRule>
    <cfRule type="containsText" dxfId="29" priority="11" operator="containsText" text="적정">
      <formula>NOT(ISERROR(SEARCH("적정",B7)))</formula>
    </cfRule>
    <cfRule type="containsText" dxfId="28" priority="12" operator="containsText" text="우수">
      <formula>NOT(ISERROR(SEARCH("우수",B7)))</formula>
    </cfRule>
  </conditionalFormatting>
  <conditionalFormatting sqref="B4">
    <cfRule type="containsText" dxfId="27" priority="5" operator="containsText" text="부적정">
      <formula>NOT(ISERROR(SEARCH("부적정",B4)))</formula>
    </cfRule>
    <cfRule type="containsText" dxfId="26" priority="6" operator="containsText" text="보통">
      <formula>NOT(ISERROR(SEARCH("보통",B4)))</formula>
    </cfRule>
    <cfRule type="containsText" dxfId="25" priority="7" operator="containsText" text="적정">
      <formula>NOT(ISERROR(SEARCH("적정",B4)))</formula>
    </cfRule>
    <cfRule type="containsText" dxfId="24" priority="8" operator="containsText" text="우수">
      <formula>NOT(ISERROR(SEARCH("우수",B4)))</formula>
    </cfRule>
  </conditionalFormatting>
  <conditionalFormatting sqref="B5">
    <cfRule type="containsText" dxfId="23" priority="1" operator="containsText" text="부적정">
      <formula>NOT(ISERROR(SEARCH("부적정",B5)))</formula>
    </cfRule>
    <cfRule type="containsText" dxfId="22" priority="2" operator="containsText" text="보통">
      <formula>NOT(ISERROR(SEARCH("보통",B5)))</formula>
    </cfRule>
    <cfRule type="containsText" dxfId="21" priority="3" operator="containsText" text="적정">
      <formula>NOT(ISERROR(SEARCH("적정",B5)))</formula>
    </cfRule>
    <cfRule type="containsText" dxfId="20" priority="4" operator="containsText" text="우수">
      <formula>NOT(ISERROR(SEARCH("우수",B5)))</formula>
    </cfRule>
  </conditionalFormatting>
  <dataValidations count="2">
    <dataValidation type="list" allowBlank="1" showInputMessage="1" showErrorMessage="1" sqref="J7:J11" xr:uid="{ACCE9C17-A762-41CF-A5F9-D73187155D5B}">
      <formula1>"시정조치 요청,조치중,담당자 조치완료,점검자 확인완료"</formula1>
    </dataValidation>
    <dataValidation type="list" allowBlank="1" showInputMessage="1" showErrorMessage="1" sqref="F7:F11" xr:uid="{D610808A-A21D-4B83-B147-5828022E9B76}">
      <formula1>"상,중,하"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49EB5-5643-422B-AEF9-D27EAC53A8AF}">
  <sheetPr codeName="Sheet5"/>
  <dimension ref="B2:P26"/>
  <sheetViews>
    <sheetView workbookViewId="0">
      <pane xSplit="1" ySplit="5" topLeftCell="B13" activePane="bottomRight" state="frozen"/>
      <selection pane="topRight" activeCell="B1" sqref="B1"/>
      <selection pane="bottomLeft" activeCell="A6" sqref="A6"/>
      <selection pane="bottomRight" activeCell="Q23" sqref="Q23"/>
    </sheetView>
  </sheetViews>
  <sheetFormatPr defaultColWidth="9" defaultRowHeight="12" x14ac:dyDescent="0.4"/>
  <cols>
    <col min="1" max="1" width="4.59765625" style="38" customWidth="1"/>
    <col min="2" max="2" width="18.5" style="39" customWidth="1"/>
    <col min="3" max="3" width="7.3984375" style="39" bestFit="1" customWidth="1"/>
    <col min="4" max="4" width="34.5" style="39" customWidth="1"/>
    <col min="5" max="8" width="11.19921875" style="38" customWidth="1"/>
    <col min="9" max="9" width="37" style="38" customWidth="1"/>
    <col min="10" max="10" width="9" style="38"/>
    <col min="11" max="11" width="2.8984375" style="38" hidden="1" customWidth="1"/>
    <col min="12" max="15" width="8" style="39" hidden="1" customWidth="1"/>
    <col min="16" max="16" width="8" style="38" hidden="1" customWidth="1"/>
    <col min="17" max="16384" width="9" style="38"/>
  </cols>
  <sheetData>
    <row r="2" spans="2:15" ht="21" customHeight="1" x14ac:dyDescent="0.4"/>
    <row r="3" spans="2:15" ht="21" customHeight="1" x14ac:dyDescent="0.4"/>
    <row r="4" spans="2:15" ht="19.5" customHeight="1" x14ac:dyDescent="0.4">
      <c r="B4" s="162" t="s">
        <v>54</v>
      </c>
      <c r="C4" s="165" t="s">
        <v>55</v>
      </c>
      <c r="D4" s="166"/>
      <c r="E4" s="164" t="s">
        <v>362</v>
      </c>
      <c r="F4" s="158"/>
      <c r="G4" s="158"/>
      <c r="H4" s="159"/>
      <c r="I4" s="162" t="s">
        <v>61</v>
      </c>
      <c r="J4" s="162" t="s">
        <v>7</v>
      </c>
      <c r="K4" s="44"/>
      <c r="L4" s="45" t="s">
        <v>62</v>
      </c>
      <c r="M4" s="45" t="s">
        <v>60</v>
      </c>
      <c r="N4" s="45" t="s">
        <v>63</v>
      </c>
      <c r="O4" s="45" t="s">
        <v>64</v>
      </c>
    </row>
    <row r="5" spans="2:15" ht="19.5" customHeight="1" x14ac:dyDescent="0.4">
      <c r="B5" s="163"/>
      <c r="C5" s="167"/>
      <c r="D5" s="168"/>
      <c r="E5" s="43" t="s">
        <v>56</v>
      </c>
      <c r="F5" s="43" t="s">
        <v>57</v>
      </c>
      <c r="G5" s="43" t="s">
        <v>58</v>
      </c>
      <c r="H5" s="43" t="s">
        <v>59</v>
      </c>
      <c r="I5" s="163"/>
      <c r="J5" s="163"/>
      <c r="K5" s="44"/>
      <c r="L5" s="45"/>
      <c r="M5" s="45"/>
      <c r="N5" s="45"/>
      <c r="O5" s="74"/>
    </row>
    <row r="6" spans="2:15" ht="36" x14ac:dyDescent="0.4">
      <c r="B6" s="62" t="s">
        <v>109</v>
      </c>
      <c r="C6" s="47" t="s">
        <v>66</v>
      </c>
      <c r="D6" s="48" t="s">
        <v>357</v>
      </c>
      <c r="E6" s="46" t="s">
        <v>110</v>
      </c>
      <c r="F6" s="46" t="s">
        <v>111</v>
      </c>
      <c r="G6" s="46" t="s">
        <v>65</v>
      </c>
      <c r="H6" s="46" t="s">
        <v>73</v>
      </c>
      <c r="I6" s="42"/>
      <c r="J6" s="49"/>
      <c r="K6" s="44"/>
      <c r="L6" s="50">
        <v>3</v>
      </c>
      <c r="M6" s="64" t="e">
        <f>IF(#REF!="적정",1,IF(#REF!="보통",2,IF(#REF!="미흡",3,IF(#REF!="부적정",4,IF(#REF!="N/A",0)))))*L6*10</f>
        <v>#REF!</v>
      </c>
      <c r="N6" s="64" t="e">
        <f t="shared" ref="N6:N15" si="0">IF(M6&gt;0,M6,IF(M6=0,""))</f>
        <v>#REF!</v>
      </c>
    </row>
    <row r="7" spans="2:15" ht="36" x14ac:dyDescent="0.4">
      <c r="B7" s="62" t="s">
        <v>45</v>
      </c>
      <c r="C7" s="47" t="s">
        <v>66</v>
      </c>
      <c r="D7" s="48" t="s">
        <v>74</v>
      </c>
      <c r="E7" s="46" t="s">
        <v>67</v>
      </c>
      <c r="F7" s="46" t="s">
        <v>68</v>
      </c>
      <c r="G7" s="46" t="s">
        <v>69</v>
      </c>
      <c r="H7" s="46" t="s">
        <v>70</v>
      </c>
      <c r="I7" s="42"/>
      <c r="J7" s="49"/>
      <c r="K7" s="44"/>
      <c r="L7" s="50"/>
      <c r="M7" s="64"/>
      <c r="N7" s="64"/>
    </row>
    <row r="8" spans="2:15" ht="24" x14ac:dyDescent="0.4">
      <c r="B8" s="62" t="s">
        <v>112</v>
      </c>
      <c r="C8" s="47" t="s">
        <v>66</v>
      </c>
      <c r="D8" s="48" t="s">
        <v>113</v>
      </c>
      <c r="E8" s="46" t="s">
        <v>110</v>
      </c>
      <c r="F8" s="46" t="s">
        <v>114</v>
      </c>
      <c r="G8" s="46" t="s">
        <v>115</v>
      </c>
      <c r="H8" s="46" t="s">
        <v>123</v>
      </c>
      <c r="I8" s="42"/>
      <c r="J8" s="49"/>
      <c r="K8" s="44"/>
      <c r="L8" s="50"/>
      <c r="M8" s="64"/>
      <c r="N8" s="64"/>
    </row>
    <row r="9" spans="2:15" ht="33.75" customHeight="1" x14ac:dyDescent="0.4">
      <c r="B9" s="62" t="s">
        <v>75</v>
      </c>
      <c r="C9" s="47" t="s">
        <v>76</v>
      </c>
      <c r="D9" s="48" t="s">
        <v>77</v>
      </c>
      <c r="E9" s="46" t="s">
        <v>110</v>
      </c>
      <c r="F9" s="46" t="s">
        <v>121</v>
      </c>
      <c r="G9" s="46" t="s">
        <v>115</v>
      </c>
      <c r="H9" s="46" t="s">
        <v>123</v>
      </c>
      <c r="I9" s="42"/>
      <c r="J9" s="49"/>
      <c r="K9" s="44"/>
      <c r="L9" s="50">
        <v>3</v>
      </c>
      <c r="M9" s="64" t="e">
        <f>IF(#REF!="적정",1,IF(#REF!="보통",2,IF(#REF!="미흡",3,IF(#REF!="부적정",4,IF(#REF!="N/A",0)))))*L9*10</f>
        <v>#REF!</v>
      </c>
      <c r="N9" s="64" t="e">
        <f t="shared" si="0"/>
        <v>#REF!</v>
      </c>
    </row>
    <row r="10" spans="2:15" ht="33.75" customHeight="1" x14ac:dyDescent="0.4">
      <c r="B10" s="62" t="s">
        <v>209</v>
      </c>
      <c r="C10" s="47" t="s">
        <v>66</v>
      </c>
      <c r="D10" s="48" t="s">
        <v>77</v>
      </c>
      <c r="E10" s="46" t="s">
        <v>67</v>
      </c>
      <c r="F10" s="46" t="s">
        <v>68</v>
      </c>
      <c r="G10" s="46" t="s">
        <v>69</v>
      </c>
      <c r="H10" s="46" t="s">
        <v>70</v>
      </c>
      <c r="I10" s="42"/>
      <c r="J10" s="49"/>
      <c r="K10" s="44"/>
      <c r="L10" s="50"/>
      <c r="M10" s="64"/>
      <c r="N10" s="64"/>
    </row>
    <row r="11" spans="2:15" ht="33.75" customHeight="1" x14ac:dyDescent="0.4">
      <c r="B11" s="62" t="s">
        <v>119</v>
      </c>
      <c r="C11" s="47" t="s">
        <v>117</v>
      </c>
      <c r="D11" s="48" t="s">
        <v>120</v>
      </c>
      <c r="E11" s="47" t="s">
        <v>21</v>
      </c>
      <c r="F11" s="47" t="s">
        <v>21</v>
      </c>
      <c r="G11" s="47" t="s">
        <v>21</v>
      </c>
      <c r="H11" s="47" t="s">
        <v>21</v>
      </c>
      <c r="I11" s="42"/>
      <c r="J11" s="49"/>
      <c r="K11" s="44"/>
      <c r="L11" s="50"/>
      <c r="M11" s="64"/>
      <c r="N11" s="64"/>
    </row>
    <row r="12" spans="2:15" ht="33.75" customHeight="1" x14ac:dyDescent="0.4">
      <c r="B12" s="62" t="s">
        <v>118</v>
      </c>
      <c r="C12" s="47" t="s">
        <v>117</v>
      </c>
      <c r="D12" s="48" t="s">
        <v>116</v>
      </c>
      <c r="E12" s="47" t="s">
        <v>21</v>
      </c>
      <c r="F12" s="47" t="s">
        <v>21</v>
      </c>
      <c r="G12" s="47" t="s">
        <v>21</v>
      </c>
      <c r="H12" s="47" t="s">
        <v>21</v>
      </c>
      <c r="I12" s="42"/>
      <c r="J12" s="49"/>
      <c r="K12" s="44"/>
      <c r="L12" s="50"/>
      <c r="M12" s="64"/>
      <c r="N12" s="64"/>
    </row>
    <row r="13" spans="2:15" ht="24" x14ac:dyDescent="0.4">
      <c r="B13" s="62" t="s">
        <v>103</v>
      </c>
      <c r="C13" s="47" t="s">
        <v>66</v>
      </c>
      <c r="D13" s="48" t="s">
        <v>122</v>
      </c>
      <c r="E13" s="52">
        <v>0</v>
      </c>
      <c r="F13" s="46" t="s">
        <v>110</v>
      </c>
      <c r="G13" s="46" t="s">
        <v>121</v>
      </c>
      <c r="H13" s="46" t="s">
        <v>124</v>
      </c>
      <c r="I13" s="42"/>
      <c r="J13" s="49"/>
      <c r="K13" s="44"/>
      <c r="L13" s="65"/>
      <c r="M13" s="64"/>
      <c r="N13" s="64"/>
    </row>
    <row r="14" spans="2:15" ht="24" x14ac:dyDescent="0.4">
      <c r="B14" s="62" t="s">
        <v>78</v>
      </c>
      <c r="C14" s="47" t="s">
        <v>66</v>
      </c>
      <c r="D14" s="48" t="s">
        <v>106</v>
      </c>
      <c r="E14" s="52">
        <v>1</v>
      </c>
      <c r="F14" s="46" t="s">
        <v>69</v>
      </c>
      <c r="G14" s="46" t="s">
        <v>71</v>
      </c>
      <c r="H14" s="46" t="s">
        <v>79</v>
      </c>
      <c r="I14" s="42"/>
      <c r="J14" s="49"/>
      <c r="K14" s="44"/>
      <c r="L14" s="65">
        <v>1</v>
      </c>
      <c r="M14" s="64" t="e">
        <f>IF(#REF!="적정",1,IF(#REF!="보통",2,IF(#REF!="미흡",3,IF(#REF!="부적정",4,IF(#REF!="N/A",0)))))*L14*10</f>
        <v>#REF!</v>
      </c>
      <c r="N14" s="64" t="e">
        <f t="shared" si="0"/>
        <v>#REF!</v>
      </c>
    </row>
    <row r="15" spans="2:15" ht="24" x14ac:dyDescent="0.4">
      <c r="B15" s="62" t="s">
        <v>50</v>
      </c>
      <c r="C15" s="47" t="s">
        <v>66</v>
      </c>
      <c r="D15" s="48" t="s">
        <v>80</v>
      </c>
      <c r="E15" s="46" t="s">
        <v>67</v>
      </c>
      <c r="F15" s="46" t="s">
        <v>68</v>
      </c>
      <c r="G15" s="46" t="s">
        <v>69</v>
      </c>
      <c r="H15" s="46" t="s">
        <v>70</v>
      </c>
      <c r="I15" s="42"/>
      <c r="J15" s="49"/>
      <c r="K15" s="44"/>
      <c r="L15" s="65">
        <v>1</v>
      </c>
      <c r="M15" s="64" t="e">
        <f>IF(#REF!="적정",1,IF(#REF!="보통",2,IF(#REF!="미흡",3,IF(#REF!="부적정",4,IF(#REF!="N/A",0)))))*L15*10</f>
        <v>#REF!</v>
      </c>
      <c r="N15" s="64" t="e">
        <f t="shared" si="0"/>
        <v>#REF!</v>
      </c>
    </row>
    <row r="16" spans="2:15" ht="21" customHeight="1" x14ac:dyDescent="0.4">
      <c r="B16" s="62" t="s">
        <v>35</v>
      </c>
      <c r="C16" s="47" t="s">
        <v>127</v>
      </c>
      <c r="D16" s="48" t="s">
        <v>145</v>
      </c>
      <c r="E16" s="52" t="s">
        <v>146</v>
      </c>
      <c r="F16" s="46"/>
      <c r="G16" s="46" t="s">
        <v>147</v>
      </c>
      <c r="H16" s="46" t="s">
        <v>148</v>
      </c>
      <c r="I16" s="42"/>
      <c r="J16" s="49"/>
      <c r="K16" s="44"/>
      <c r="L16" s="65"/>
      <c r="M16" s="64"/>
      <c r="N16" s="64"/>
    </row>
    <row r="17" spans="2:14" ht="36" x14ac:dyDescent="0.4">
      <c r="B17" s="62" t="s">
        <v>38</v>
      </c>
      <c r="C17" s="47" t="s">
        <v>66</v>
      </c>
      <c r="D17" s="48" t="s">
        <v>125</v>
      </c>
      <c r="E17" s="52">
        <v>1</v>
      </c>
      <c r="F17" s="46" t="s">
        <v>81</v>
      </c>
      <c r="G17" s="46" t="s">
        <v>82</v>
      </c>
      <c r="H17" s="46" t="s">
        <v>83</v>
      </c>
      <c r="I17" s="42"/>
      <c r="J17" s="49"/>
      <c r="K17" s="44"/>
      <c r="L17" s="65"/>
      <c r="M17" s="64"/>
      <c r="N17" s="64"/>
    </row>
    <row r="18" spans="2:14" ht="24" x14ac:dyDescent="0.4">
      <c r="B18" s="62" t="s">
        <v>130</v>
      </c>
      <c r="C18" s="47" t="s">
        <v>127</v>
      </c>
      <c r="D18" s="48" t="s">
        <v>131</v>
      </c>
      <c r="E18" s="52" t="s">
        <v>108</v>
      </c>
      <c r="F18" s="46"/>
      <c r="G18" s="46" t="s">
        <v>132</v>
      </c>
      <c r="H18" s="46" t="s">
        <v>133</v>
      </c>
      <c r="I18" s="42"/>
      <c r="J18" s="49"/>
      <c r="K18" s="44"/>
      <c r="L18" s="65"/>
      <c r="M18" s="64"/>
      <c r="N18" s="64"/>
    </row>
    <row r="19" spans="2:14" x14ac:dyDescent="0.4">
      <c r="B19" s="62" t="s">
        <v>126</v>
      </c>
      <c r="C19" s="47" t="s">
        <v>127</v>
      </c>
      <c r="D19" s="48" t="s">
        <v>129</v>
      </c>
      <c r="E19" s="52" t="s">
        <v>105</v>
      </c>
      <c r="F19" s="47" t="s">
        <v>21</v>
      </c>
      <c r="G19" s="46" t="s">
        <v>128</v>
      </c>
      <c r="H19" s="46" t="s">
        <v>72</v>
      </c>
      <c r="I19" s="42"/>
      <c r="J19" s="49"/>
      <c r="K19" s="44"/>
      <c r="L19" s="65">
        <v>1</v>
      </c>
      <c r="M19" s="64" t="e">
        <f>IF(#REF!="적정",1,IF(#REF!="보통",2,IF(#REF!="미흡",3,IF(#REF!="부적정",4,IF(#REF!="N/A",0)))))*L19*10</f>
        <v>#REF!</v>
      </c>
      <c r="N19" s="64" t="e">
        <f t="shared" ref="N19" si="1">IF(M19&gt;0,M19,IF(M19=0,""))</f>
        <v>#REF!</v>
      </c>
    </row>
    <row r="20" spans="2:14" ht="24" x14ac:dyDescent="0.4">
      <c r="B20" s="62" t="s">
        <v>43</v>
      </c>
      <c r="C20" s="47" t="s">
        <v>66</v>
      </c>
      <c r="D20" s="48" t="s">
        <v>84</v>
      </c>
      <c r="E20" s="52">
        <v>1</v>
      </c>
      <c r="F20" s="46" t="s">
        <v>68</v>
      </c>
      <c r="G20" s="46" t="s">
        <v>69</v>
      </c>
      <c r="H20" s="46" t="s">
        <v>70</v>
      </c>
      <c r="I20" s="63"/>
      <c r="J20" s="53"/>
      <c r="K20" s="44"/>
      <c r="L20" s="65">
        <v>1</v>
      </c>
      <c r="M20" s="64" t="e">
        <f>IF(#REF!="적정",1,IF(#REF!="보통",2,IF(#REF!="미흡",3,IF(#REF!="부적정",4,IF(#REF!="N/A",0)))))*L20*10</f>
        <v>#REF!</v>
      </c>
      <c r="N20" s="64" t="e">
        <f t="shared" ref="N20" si="2">IF(M20&gt;0,M20,IF(M20=0,""))</f>
        <v>#REF!</v>
      </c>
    </row>
    <row r="21" spans="2:14" ht="36" x14ac:dyDescent="0.4">
      <c r="B21" s="62" t="s">
        <v>266</v>
      </c>
      <c r="C21" s="47" t="s">
        <v>66</v>
      </c>
      <c r="D21" s="48" t="s">
        <v>268</v>
      </c>
      <c r="E21" s="46" t="s">
        <v>68</v>
      </c>
      <c r="F21" s="46" t="s">
        <v>69</v>
      </c>
      <c r="G21" s="46" t="s">
        <v>71</v>
      </c>
      <c r="H21" s="46" t="s">
        <v>79</v>
      </c>
      <c r="I21" s="42"/>
      <c r="J21" s="53"/>
      <c r="K21" s="44"/>
      <c r="L21" s="50">
        <v>1</v>
      </c>
      <c r="M21" s="64" t="e">
        <f>IF(#REF!="적정",1,IF(#REF!="보통",2,IF(#REF!="미흡",3,IF(#REF!="부적정",4,IF(#REF!="N/A",0)))))*L21*10</f>
        <v>#REF!</v>
      </c>
      <c r="N21" s="64" t="e">
        <f t="shared" ref="N21" si="3">IF(M21&gt;0,M21,IF(M21=0,""))</f>
        <v>#REF!</v>
      </c>
    </row>
    <row r="22" spans="2:14" ht="36" x14ac:dyDescent="0.4">
      <c r="B22" s="62" t="s">
        <v>267</v>
      </c>
      <c r="C22" s="47" t="s">
        <v>66</v>
      </c>
      <c r="D22" s="48" t="s">
        <v>269</v>
      </c>
      <c r="E22" s="46" t="s">
        <v>68</v>
      </c>
      <c r="F22" s="46" t="s">
        <v>69</v>
      </c>
      <c r="G22" s="46" t="s">
        <v>71</v>
      </c>
      <c r="H22" s="46" t="s">
        <v>79</v>
      </c>
      <c r="I22" s="42"/>
      <c r="J22" s="53"/>
      <c r="K22" s="44"/>
      <c r="L22" s="50"/>
      <c r="M22" s="64"/>
      <c r="N22" s="64"/>
    </row>
    <row r="23" spans="2:14" ht="24" x14ac:dyDescent="0.4">
      <c r="B23" s="62" t="s">
        <v>48</v>
      </c>
      <c r="C23" s="47" t="s">
        <v>66</v>
      </c>
      <c r="D23" s="48" t="s">
        <v>85</v>
      </c>
      <c r="E23" s="46" t="s">
        <v>67</v>
      </c>
      <c r="F23" s="46" t="s">
        <v>68</v>
      </c>
      <c r="G23" s="46" t="s">
        <v>69</v>
      </c>
      <c r="H23" s="46" t="s">
        <v>70</v>
      </c>
      <c r="I23" s="42"/>
      <c r="J23" s="53"/>
      <c r="K23" s="44"/>
      <c r="L23" s="50">
        <v>1</v>
      </c>
      <c r="M23" s="64" t="e">
        <f>IF(#REF!="적정",1,IF(#REF!="보통",2,IF(#REF!="미흡",3,IF(#REF!="부적정",4,IF(#REF!="N/A",0)))))*L23*10</f>
        <v>#REF!</v>
      </c>
      <c r="N23" s="64" t="e">
        <f>IF(M23&gt;0,M23,IF(M23=0,""))</f>
        <v>#REF!</v>
      </c>
    </row>
    <row r="24" spans="2:14" ht="24" x14ac:dyDescent="0.4">
      <c r="B24" s="62" t="s">
        <v>139</v>
      </c>
      <c r="C24" s="47" t="s">
        <v>66</v>
      </c>
      <c r="D24" s="48" t="s">
        <v>140</v>
      </c>
      <c r="E24" s="52">
        <v>1</v>
      </c>
      <c r="F24" s="46" t="s">
        <v>68</v>
      </c>
      <c r="G24" s="46" t="s">
        <v>69</v>
      </c>
      <c r="H24" s="46" t="s">
        <v>70</v>
      </c>
      <c r="I24" s="42"/>
      <c r="J24" s="53"/>
      <c r="K24" s="44"/>
      <c r="L24" s="51">
        <v>5</v>
      </c>
      <c r="M24" s="64" t="e">
        <f>IF(#REF!="적정",1,IF(#REF!="보통",2,IF(#REF!="미흡",3,IF(#REF!="부적정",4,IF(#REF!="N/A",0)))))*L24*10</f>
        <v>#REF!</v>
      </c>
      <c r="N24" s="64" t="e">
        <f t="shared" ref="N24:N25" si="4">IF(M24&gt;0,M24,IF(M24=0,""))</f>
        <v>#REF!</v>
      </c>
    </row>
    <row r="25" spans="2:14" ht="24" x14ac:dyDescent="0.4">
      <c r="B25" s="62" t="s">
        <v>53</v>
      </c>
      <c r="C25" s="47" t="s">
        <v>66</v>
      </c>
      <c r="D25" s="48" t="s">
        <v>86</v>
      </c>
      <c r="E25" s="52">
        <v>1</v>
      </c>
      <c r="F25" s="46" t="s">
        <v>68</v>
      </c>
      <c r="G25" s="46" t="s">
        <v>69</v>
      </c>
      <c r="H25" s="46" t="s">
        <v>70</v>
      </c>
      <c r="I25" s="42"/>
      <c r="J25" s="53"/>
      <c r="K25" s="44"/>
      <c r="L25" s="51">
        <v>5</v>
      </c>
      <c r="M25" s="64" t="e">
        <f>IF(#REF!="적정",1,IF(#REF!="보통",2,IF(#REF!="미흡",3,IF(#REF!="부적정",4,IF(#REF!="N/A",0)))))*L25*10</f>
        <v>#REF!</v>
      </c>
      <c r="N25" s="64" t="e">
        <f t="shared" si="4"/>
        <v>#REF!</v>
      </c>
    </row>
    <row r="26" spans="2:14" x14ac:dyDescent="0.4">
      <c r="B26" s="101" t="s">
        <v>358</v>
      </c>
    </row>
  </sheetData>
  <mergeCells count="5">
    <mergeCell ref="I4:I5"/>
    <mergeCell ref="J4:J5"/>
    <mergeCell ref="E4:H4"/>
    <mergeCell ref="B4:B5"/>
    <mergeCell ref="C4:D5"/>
  </mergeCells>
  <phoneticPr fontId="3" type="noConversion"/>
  <pageMargins left="0.7" right="0.7" top="0.75" bottom="0.75" header="0.3" footer="0.3"/>
  <pageSetup paperSize="9" orientation="portrait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H12"/>
  <sheetViews>
    <sheetView zoomScaleNormal="100" workbookViewId="0">
      <pane ySplit="4" topLeftCell="A5" activePane="bottomLeft" state="frozen"/>
      <selection activeCell="P12" sqref="P12"/>
      <selection pane="bottomLeft" activeCell="B12" sqref="B12"/>
    </sheetView>
  </sheetViews>
  <sheetFormatPr defaultColWidth="8.69921875" defaultRowHeight="12" x14ac:dyDescent="0.4"/>
  <cols>
    <col min="1" max="1" width="2.69921875" style="44" customWidth="1"/>
    <col min="2" max="2" width="7" style="44" customWidth="1"/>
    <col min="3" max="3" width="50.19921875" style="44" customWidth="1"/>
    <col min="4" max="4" width="16.5" style="44" customWidth="1"/>
    <col min="5" max="5" width="7" style="44" hidden="1" customWidth="1"/>
    <col min="6" max="6" width="7.5" style="44" customWidth="1"/>
    <col min="7" max="7" width="13.5" style="44" customWidth="1"/>
    <col min="8" max="8" width="43.09765625" style="44" customWidth="1"/>
    <col min="9" max="16384" width="8.69921875" style="44"/>
  </cols>
  <sheetData>
    <row r="2" spans="2:8" ht="31.2" customHeight="1" x14ac:dyDescent="0.4">
      <c r="B2" s="169" t="s">
        <v>373</v>
      </c>
      <c r="C2" s="170"/>
      <c r="D2" s="170"/>
      <c r="E2" s="171"/>
      <c r="F2" s="54"/>
      <c r="G2" s="169" t="s">
        <v>178</v>
      </c>
      <c r="H2" s="170"/>
    </row>
    <row r="4" spans="2:8" ht="27.75" customHeight="1" x14ac:dyDescent="0.4">
      <c r="B4" s="55" t="s">
        <v>179</v>
      </c>
      <c r="C4" s="55" t="s">
        <v>180</v>
      </c>
      <c r="D4" s="55" t="s">
        <v>7</v>
      </c>
      <c r="E4" s="55" t="s">
        <v>87</v>
      </c>
      <c r="G4" s="55" t="s">
        <v>202</v>
      </c>
      <c r="H4" s="55" t="s">
        <v>180</v>
      </c>
    </row>
    <row r="5" spans="2:8" ht="55.5" customHeight="1" x14ac:dyDescent="0.4">
      <c r="B5" s="56" t="s">
        <v>144</v>
      </c>
      <c r="C5" s="57" t="s">
        <v>183</v>
      </c>
      <c r="D5" s="75" t="s">
        <v>181</v>
      </c>
      <c r="E5" s="72">
        <v>100</v>
      </c>
      <c r="G5" s="56" t="s">
        <v>291</v>
      </c>
      <c r="H5" s="57" t="s">
        <v>370</v>
      </c>
    </row>
    <row r="6" spans="2:8" ht="57.75" customHeight="1" x14ac:dyDescent="0.4">
      <c r="B6" s="56" t="s">
        <v>88</v>
      </c>
      <c r="C6" s="57" t="s">
        <v>184</v>
      </c>
      <c r="D6" s="75" t="s">
        <v>182</v>
      </c>
      <c r="E6" s="72">
        <v>90</v>
      </c>
      <c r="G6" s="102" t="s">
        <v>292</v>
      </c>
      <c r="H6" s="106" t="s">
        <v>371</v>
      </c>
    </row>
    <row r="7" spans="2:8" ht="53.25" customHeight="1" x14ac:dyDescent="0.4">
      <c r="B7" s="56" t="s">
        <v>89</v>
      </c>
      <c r="C7" s="57" t="s">
        <v>185</v>
      </c>
      <c r="D7" s="75" t="s">
        <v>186</v>
      </c>
      <c r="E7" s="72">
        <v>80</v>
      </c>
      <c r="G7" s="56" t="s">
        <v>293</v>
      </c>
      <c r="H7" s="57" t="s">
        <v>372</v>
      </c>
    </row>
    <row r="8" spans="2:8" ht="58.5" customHeight="1" x14ac:dyDescent="0.4">
      <c r="B8" s="56" t="s">
        <v>90</v>
      </c>
      <c r="C8" s="59" t="s">
        <v>188</v>
      </c>
      <c r="D8" s="76" t="s">
        <v>187</v>
      </c>
      <c r="E8" s="72">
        <v>60</v>
      </c>
      <c r="G8" s="60" t="s">
        <v>94</v>
      </c>
      <c r="H8" s="59" t="s">
        <v>95</v>
      </c>
    </row>
    <row r="9" spans="2:8" ht="48.6" customHeight="1" x14ac:dyDescent="0.4">
      <c r="B9" s="56" t="s">
        <v>91</v>
      </c>
      <c r="C9" s="59" t="s">
        <v>189</v>
      </c>
      <c r="D9" s="76" t="s">
        <v>190</v>
      </c>
      <c r="E9" s="72">
        <v>40</v>
      </c>
    </row>
    <row r="10" spans="2:8" ht="30" hidden="1" customHeight="1" x14ac:dyDescent="0.4">
      <c r="B10" s="56" t="s">
        <v>92</v>
      </c>
      <c r="C10" s="59" t="s">
        <v>93</v>
      </c>
      <c r="D10" s="76"/>
      <c r="E10" s="58">
        <v>0</v>
      </c>
    </row>
    <row r="11" spans="2:8" ht="48.6" customHeight="1" x14ac:dyDescent="0.4">
      <c r="B11" s="60" t="s">
        <v>94</v>
      </c>
      <c r="C11" s="59" t="s">
        <v>95</v>
      </c>
      <c r="D11" s="76" t="s">
        <v>191</v>
      </c>
      <c r="E11" s="61" t="s">
        <v>21</v>
      </c>
    </row>
    <row r="12" spans="2:8" x14ac:dyDescent="0.4">
      <c r="B12" s="44" t="s">
        <v>374</v>
      </c>
    </row>
  </sheetData>
  <mergeCells count="2">
    <mergeCell ref="B2:E2"/>
    <mergeCell ref="G2:H2"/>
  </mergeCells>
  <phoneticPr fontId="3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F8AB6-735E-4E0D-BFDA-07E8A507E94D}">
  <sheetPr codeName="Sheet7"/>
  <dimension ref="B2:D23"/>
  <sheetViews>
    <sheetView workbookViewId="0">
      <selection activeCell="F11" sqref="F11"/>
    </sheetView>
  </sheetViews>
  <sheetFormatPr defaultRowHeight="17.399999999999999" x14ac:dyDescent="0.4"/>
  <cols>
    <col min="1" max="1" width="4.19921875" customWidth="1"/>
    <col min="2" max="2" width="23.3984375" customWidth="1"/>
    <col min="3" max="3" width="29.5" customWidth="1"/>
    <col min="4" max="4" width="50.09765625" customWidth="1"/>
  </cols>
  <sheetData>
    <row r="2" spans="2:4" x14ac:dyDescent="0.4">
      <c r="B2" s="169" t="s">
        <v>297</v>
      </c>
      <c r="C2" s="170"/>
      <c r="D2" s="171"/>
    </row>
    <row r="3" spans="2:4" x14ac:dyDescent="0.4">
      <c r="B3" s="44"/>
      <c r="C3" s="44"/>
      <c r="D3" s="44"/>
    </row>
    <row r="4" spans="2:4" ht="19.5" customHeight="1" x14ac:dyDescent="0.4">
      <c r="B4" s="94" t="s">
        <v>319</v>
      </c>
      <c r="C4" s="94" t="s">
        <v>366</v>
      </c>
      <c r="D4" s="94" t="s">
        <v>294</v>
      </c>
    </row>
    <row r="5" spans="2:4" s="82" customFormat="1" ht="59.25" customHeight="1" x14ac:dyDescent="0.4">
      <c r="B5" s="66" t="s">
        <v>320</v>
      </c>
      <c r="C5" s="63" t="s">
        <v>333</v>
      </c>
      <c r="D5" s="68" t="s">
        <v>298</v>
      </c>
    </row>
    <row r="6" spans="2:4" s="82" customFormat="1" ht="55.5" customHeight="1" x14ac:dyDescent="0.4">
      <c r="B6" s="66" t="s">
        <v>321</v>
      </c>
      <c r="C6" s="63" t="s">
        <v>300</v>
      </c>
      <c r="D6" s="68" t="s">
        <v>301</v>
      </c>
    </row>
    <row r="7" spans="2:4" s="82" customFormat="1" ht="48" customHeight="1" x14ac:dyDescent="0.4">
      <c r="B7" s="66" t="s">
        <v>322</v>
      </c>
      <c r="C7" s="63" t="s">
        <v>308</v>
      </c>
      <c r="D7" s="68" t="s">
        <v>309</v>
      </c>
    </row>
    <row r="8" spans="2:4" s="82" customFormat="1" ht="42" customHeight="1" x14ac:dyDescent="0.4">
      <c r="B8" s="66" t="s">
        <v>323</v>
      </c>
      <c r="C8" s="63" t="s">
        <v>310</v>
      </c>
      <c r="D8" s="68" t="s">
        <v>311</v>
      </c>
    </row>
    <row r="9" spans="2:4" s="82" customFormat="1" ht="48.75" customHeight="1" x14ac:dyDescent="0.4">
      <c r="B9" s="66" t="s">
        <v>324</v>
      </c>
      <c r="C9" s="68" t="s">
        <v>312</v>
      </c>
      <c r="D9" s="68" t="s">
        <v>367</v>
      </c>
    </row>
    <row r="10" spans="2:4" s="82" customFormat="1" ht="45" customHeight="1" x14ac:dyDescent="0.4">
      <c r="B10" s="66" t="s">
        <v>325</v>
      </c>
      <c r="C10" s="41" t="s">
        <v>295</v>
      </c>
      <c r="D10" s="81" t="s">
        <v>296</v>
      </c>
    </row>
    <row r="11" spans="2:4" s="82" customFormat="1" ht="45" customHeight="1" x14ac:dyDescent="0.4">
      <c r="B11" s="66" t="s">
        <v>375</v>
      </c>
      <c r="C11" s="41" t="s">
        <v>376</v>
      </c>
      <c r="D11" s="81" t="s">
        <v>377</v>
      </c>
    </row>
    <row r="12" spans="2:4" s="82" customFormat="1" ht="105" customHeight="1" x14ac:dyDescent="0.4">
      <c r="B12" s="66" t="s">
        <v>326</v>
      </c>
      <c r="C12" s="41" t="s">
        <v>299</v>
      </c>
      <c r="D12" s="81" t="s">
        <v>378</v>
      </c>
    </row>
    <row r="13" spans="2:4" s="82" customFormat="1" ht="33" customHeight="1" x14ac:dyDescent="0.4">
      <c r="B13" s="41" t="s">
        <v>359</v>
      </c>
      <c r="C13" s="41" t="s">
        <v>360</v>
      </c>
      <c r="D13" s="81" t="s">
        <v>361</v>
      </c>
    </row>
    <row r="14" spans="2:4" s="82" customFormat="1" x14ac:dyDescent="0.4">
      <c r="B14" s="38"/>
      <c r="C14" s="38"/>
      <c r="D14" s="38"/>
    </row>
    <row r="15" spans="2:4" s="82" customFormat="1" x14ac:dyDescent="0.4">
      <c r="B15" s="38"/>
      <c r="C15" s="38"/>
      <c r="D15" s="38"/>
    </row>
    <row r="16" spans="2:4" s="82" customFormat="1" x14ac:dyDescent="0.4">
      <c r="B16" s="38"/>
      <c r="C16" s="38"/>
      <c r="D16" s="38"/>
    </row>
    <row r="17" spans="2:4" x14ac:dyDescent="0.4">
      <c r="B17" s="44"/>
      <c r="C17" s="44"/>
      <c r="D17" s="44"/>
    </row>
    <row r="18" spans="2:4" x14ac:dyDescent="0.4">
      <c r="B18" s="44"/>
      <c r="C18" s="44"/>
      <c r="D18" s="44"/>
    </row>
    <row r="19" spans="2:4" x14ac:dyDescent="0.4">
      <c r="B19" s="44"/>
      <c r="C19" s="44"/>
      <c r="D19" s="44"/>
    </row>
    <row r="20" spans="2:4" x14ac:dyDescent="0.4">
      <c r="B20" s="44"/>
      <c r="C20" s="44"/>
      <c r="D20" s="44"/>
    </row>
    <row r="21" spans="2:4" x14ac:dyDescent="0.4">
      <c r="B21" s="44"/>
      <c r="C21" s="44"/>
      <c r="D21" s="44"/>
    </row>
    <row r="22" spans="2:4" x14ac:dyDescent="0.4">
      <c r="B22" s="44"/>
      <c r="C22" s="44"/>
      <c r="D22" s="44"/>
    </row>
    <row r="23" spans="2:4" x14ac:dyDescent="0.4">
      <c r="B23" s="44"/>
      <c r="C23" s="44"/>
      <c r="D23" s="44"/>
    </row>
  </sheetData>
  <mergeCells count="1">
    <mergeCell ref="B2:D2"/>
  </mergeCells>
  <phoneticPr fontId="3" type="noConversion"/>
  <pageMargins left="0.7" right="0.7" top="0.75" bottom="0.75" header="0.3" footer="0.3"/>
  <headerFooter>
    <oddFooter>&amp;L_x000D_&amp;1#&amp;"Calibri"&amp;8&amp;KCCCCCC 일반(Anyuser)/배청한 책임 SF운영기술팀 본 문서는 HyundaiAutoever의 정보자산이므로 무단으로 전재 및 복제할 수 없으며, 이를 위반할 시에는 당사 사규 및 관련 법규에 의해 제재를 받을 수 있습니다.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D0A6BE94F14754C8FEA32C07DEE9242" ma:contentTypeVersion="7" ma:contentTypeDescription="새 문서를 만듭니다." ma:contentTypeScope="" ma:versionID="f3dc50bb38fd67bc1326a53a1364558f">
  <xsd:schema xmlns:xsd="http://www.w3.org/2001/XMLSchema" xmlns:xs="http://www.w3.org/2001/XMLSchema" xmlns:p="http://schemas.microsoft.com/office/2006/metadata/properties" xmlns:ns2="536b8229-192a-4ae0-afaf-fbc449843b28" targetNamespace="http://schemas.microsoft.com/office/2006/metadata/properties" ma:root="true" ma:fieldsID="00f2bd8efd42f7c8f683f50494201eb2" ns2:_="">
    <xsd:import namespace="536b8229-192a-4ae0-afaf-fbc449843b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6b8229-192a-4ae0-afaf-fbc449843b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DD78AF-29B5-4DFF-86D6-85D288C442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852213-FABC-49CF-97AE-AAFE555366D9}">
  <ds:schemaRefs>
    <ds:schemaRef ds:uri="http://purl.org/dc/terms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536b8229-192a-4ae0-afaf-fbc449843b28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721B8FE-2A4C-4414-9395-1A309C3F6A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6b8229-192a-4ae0-afaf-fbc449843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0060d82-8c13-4667-8f41-3eac58da9617}" enabled="1" method="Privileged" siteId="{c3009ee9-85dd-4ecf-a86f-79941767d706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</vt:i4>
      </vt:variant>
    </vt:vector>
  </HeadingPairs>
  <TitlesOfParts>
    <vt:vector size="15" baseType="lpstr">
      <vt:lpstr>Title</vt:lpstr>
      <vt:lpstr>0.개정이력</vt:lpstr>
      <vt:lpstr>0.품질점검 개요</vt:lpstr>
      <vt:lpstr>1.종합의견</vt:lpstr>
      <vt:lpstr>2.1품질점검_착수</vt:lpstr>
      <vt:lpstr>2.2품질점검_분석</vt:lpstr>
      <vt:lpstr>2.3품질점검_설계</vt:lpstr>
      <vt:lpstr>2.4품질점검_개발</vt:lpstr>
      <vt:lpstr>2.5품질점검_테스트</vt:lpstr>
      <vt:lpstr>2.6품질점검_가동준비</vt:lpstr>
      <vt:lpstr>3.시정조치내역서</vt:lpstr>
      <vt:lpstr>4.품질점검 지표 Pool</vt:lpstr>
      <vt:lpstr>5.점검기준(2023)</vt:lpstr>
      <vt:lpstr>6.품질점검 FAQ</vt:lpstr>
      <vt:lpstr>'2.1품질점검_착수'!Print_Area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ICT수행실/김태형</dc:creator>
  <cp:lastModifiedBy>master</cp:lastModifiedBy>
  <dcterms:created xsi:type="dcterms:W3CDTF">2022-03-24T06:11:55Z</dcterms:created>
  <dcterms:modified xsi:type="dcterms:W3CDTF">2023-03-29T06:46:48Z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0060d82-8c13-4667-8f41-3eac58da9617_Enabled">
    <vt:lpwstr>true</vt:lpwstr>
  </property>
  <property fmtid="{D5CDD505-2E9C-101B-9397-08002B2CF9AE}" pid="3" name="MSIP_Label_f0060d82-8c13-4667-8f41-3eac58da9617_SetDate">
    <vt:lpwstr>2022-03-24T06:12:08Z</vt:lpwstr>
  </property>
  <property fmtid="{D5CDD505-2E9C-101B-9397-08002B2CF9AE}" pid="4" name="MSIP_Label_f0060d82-8c13-4667-8f41-3eac58da9617_Method">
    <vt:lpwstr>Privileged</vt:lpwstr>
  </property>
  <property fmtid="{D5CDD505-2E9C-101B-9397-08002B2CF9AE}" pid="5" name="MSIP_Label_f0060d82-8c13-4667-8f41-3eac58da9617_Name">
    <vt:lpwstr>일반(Anyuser)</vt:lpwstr>
  </property>
  <property fmtid="{D5CDD505-2E9C-101B-9397-08002B2CF9AE}" pid="6" name="MSIP_Label_f0060d82-8c13-4667-8f41-3eac58da9617_SiteId">
    <vt:lpwstr>c3009ee9-85dd-4ecf-a86f-79941767d706</vt:lpwstr>
  </property>
  <property fmtid="{D5CDD505-2E9C-101B-9397-08002B2CF9AE}" pid="7" name="MSIP_Label_f0060d82-8c13-4667-8f41-3eac58da9617_ActionId">
    <vt:lpwstr>080859e3-e1b6-4b7a-838a-9e73394188aa</vt:lpwstr>
  </property>
  <property fmtid="{D5CDD505-2E9C-101B-9397-08002B2CF9AE}" pid="8" name="MSIP_Label_f0060d82-8c13-4667-8f41-3eac58da9617_ContentBits">
    <vt:lpwstr>2</vt:lpwstr>
  </property>
  <property fmtid="{D5CDD505-2E9C-101B-9397-08002B2CF9AE}" pid="9" name="ContentTypeId">
    <vt:lpwstr>0x010100AD0A6BE94F14754C8FEA32C07DEE9242</vt:lpwstr>
  </property>
</Properties>
</file>